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45472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 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45472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45472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45472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73863-2021</t>
        </is>
      </c>
      <c r="B6" s="1" t="n">
        <v>44553</v>
      </c>
      <c r="C6" s="1" t="n">
        <v>45472</v>
      </c>
      <c r="D6" t="inlineStr">
        <is>
          <t>KRONOBERGS LÄN</t>
        </is>
      </c>
      <c r="E6" t="inlineStr">
        <is>
          <t>MARKARYD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Lopplummer</t>
        </is>
      </c>
      <c r="S6">
        <f>HYPERLINK("https://klasma.github.io/Logging_0767/artfynd/A 73863-2021 artfynd.xlsx", "A 73863-2021")</f>
        <v/>
      </c>
      <c r="T6">
        <f>HYPERLINK("https://klasma.github.io/Logging_0767/kartor/A 73863-2021 karta.png", "A 73863-2021")</f>
        <v/>
      </c>
      <c r="V6">
        <f>HYPERLINK("https://klasma.github.io/Logging_0767/klagomål/A 73863-2021 FSC-klagomål.docx", "A 73863-2021")</f>
        <v/>
      </c>
      <c r="W6">
        <f>HYPERLINK("https://klasma.github.io/Logging_0767/klagomålsmail/A 73863-2021 FSC-klagomål mail.docx", "A 73863-2021")</f>
        <v/>
      </c>
      <c r="X6">
        <f>HYPERLINK("https://klasma.github.io/Logging_0767/tillsyn/A 73863-2021 tillsynsbegäran.docx", "A 73863-2021")</f>
        <v/>
      </c>
      <c r="Y6">
        <f>HYPERLINK("https://klasma.github.io/Logging_0767/tillsynsmail/A 73863-2021 tillsynsbegäran mail.docx", "A 73863-2021")</f>
        <v/>
      </c>
    </row>
    <row r="7" ht="15" customHeight="1">
      <c r="A7" t="inlineStr">
        <is>
          <t>A 39508-2022</t>
        </is>
      </c>
      <c r="B7" s="1" t="n">
        <v>44818</v>
      </c>
      <c r="C7" s="1" t="n">
        <v>45472</v>
      </c>
      <c r="D7" t="inlineStr">
        <is>
          <t>KRONOBERGS LÄN</t>
        </is>
      </c>
      <c r="E7" t="inlineStr">
        <is>
          <t>MARKARYD</t>
        </is>
      </c>
      <c r="F7" t="inlineStr">
        <is>
          <t>Kommuner</t>
        </is>
      </c>
      <c r="G7" t="n">
        <v>45.6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Kråka</t>
        </is>
      </c>
      <c r="S7">
        <f>HYPERLINK("https://klasma.github.io/Logging_0767/artfynd/A 39508-2022 artfynd.xlsx", "A 39508-2022")</f>
        <v/>
      </c>
      <c r="T7">
        <f>HYPERLINK("https://klasma.github.io/Logging_0767/kartor/A 39508-2022 karta.png", "A 39508-2022")</f>
        <v/>
      </c>
      <c r="V7">
        <f>HYPERLINK("https://klasma.github.io/Logging_0767/klagomål/A 39508-2022 FSC-klagomål.docx", "A 39508-2022")</f>
        <v/>
      </c>
      <c r="W7">
        <f>HYPERLINK("https://klasma.github.io/Logging_0767/klagomålsmail/A 39508-2022 FSC-klagomål mail.docx", "A 39508-2022")</f>
        <v/>
      </c>
      <c r="X7">
        <f>HYPERLINK("https://klasma.github.io/Logging_0767/tillsyn/A 39508-2022 tillsynsbegäran.docx", "A 39508-2022")</f>
        <v/>
      </c>
      <c r="Y7">
        <f>HYPERLINK("https://klasma.github.io/Logging_0767/tillsynsmail/A 39508-2022 tillsynsbegäran mail.docx", "A 39508-2022")</f>
        <v/>
      </c>
      <c r="Z7">
        <f>HYPERLINK("https://klasma.github.io/Logging_0767/fåglar/A 39508-2022 prioriterade fågelarter.docx", "A 39508-2022")</f>
        <v/>
      </c>
    </row>
    <row r="8" ht="15" customHeight="1">
      <c r="A8" t="inlineStr">
        <is>
          <t>A 12084-2023</t>
        </is>
      </c>
      <c r="B8" s="1" t="n">
        <v>44997</v>
      </c>
      <c r="C8" s="1" t="n">
        <v>45472</v>
      </c>
      <c r="D8" t="inlineStr">
        <is>
          <t>KRONOBERGS LÄN</t>
        </is>
      </c>
      <c r="E8" t="inlineStr">
        <is>
          <t>MARKARYD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Borsttåg</t>
        </is>
      </c>
      <c r="S8">
        <f>HYPERLINK("https://klasma.github.io/Logging_0767/artfynd/A 12084-2023 artfynd.xlsx", "A 12084-2023")</f>
        <v/>
      </c>
      <c r="T8">
        <f>HYPERLINK("https://klasma.github.io/Logging_0767/kartor/A 12084-2023 karta.png", "A 12084-2023")</f>
        <v/>
      </c>
      <c r="V8">
        <f>HYPERLINK("https://klasma.github.io/Logging_0767/klagomål/A 12084-2023 FSC-klagomål.docx", "A 12084-2023")</f>
        <v/>
      </c>
      <c r="W8">
        <f>HYPERLINK("https://klasma.github.io/Logging_0767/klagomålsmail/A 12084-2023 FSC-klagomål mail.docx", "A 12084-2023")</f>
        <v/>
      </c>
      <c r="X8">
        <f>HYPERLINK("https://klasma.github.io/Logging_0767/tillsyn/A 12084-2023 tillsynsbegäran.docx", "A 12084-2023")</f>
        <v/>
      </c>
      <c r="Y8">
        <f>HYPERLINK("https://klasma.github.io/Logging_0767/tillsynsmail/A 12084-2023 tillsynsbegäran mail.docx", "A 12084-2023")</f>
        <v/>
      </c>
    </row>
    <row r="9" ht="15" customHeight="1">
      <c r="A9" t="inlineStr">
        <is>
          <t>A 51195-2023</t>
        </is>
      </c>
      <c r="B9" s="1" t="n">
        <v>45219</v>
      </c>
      <c r="C9" s="1" t="n">
        <v>45472</v>
      </c>
      <c r="D9" t="inlineStr">
        <is>
          <t>KRONOBERGS LÄN</t>
        </is>
      </c>
      <c r="E9" t="inlineStr">
        <is>
          <t>MARKARYD</t>
        </is>
      </c>
      <c r="G9" t="n">
        <v>1.6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Spindelblomster</t>
        </is>
      </c>
      <c r="S9">
        <f>HYPERLINK("https://klasma.github.io/Logging_0767/artfynd/A 51195-2023 artfynd.xlsx", "A 51195-2023")</f>
        <v/>
      </c>
      <c r="T9">
        <f>HYPERLINK("https://klasma.github.io/Logging_0767/kartor/A 51195-2023 karta.png", "A 51195-2023")</f>
        <v/>
      </c>
      <c r="V9">
        <f>HYPERLINK("https://klasma.github.io/Logging_0767/klagomål/A 51195-2023 FSC-klagomål.docx", "A 51195-2023")</f>
        <v/>
      </c>
      <c r="W9">
        <f>HYPERLINK("https://klasma.github.io/Logging_0767/klagomålsmail/A 51195-2023 FSC-klagomål mail.docx", "A 51195-2023")</f>
        <v/>
      </c>
      <c r="X9">
        <f>HYPERLINK("https://klasma.github.io/Logging_0767/tillsyn/A 51195-2023 tillsynsbegäran.docx", "A 51195-2023")</f>
        <v/>
      </c>
      <c r="Y9">
        <f>HYPERLINK("https://klasma.github.io/Logging_0767/tillsynsmail/A 51195-2023 tillsynsbegäran mail.docx", "A 51195-2023")</f>
        <v/>
      </c>
    </row>
    <row r="10" ht="15" customHeight="1">
      <c r="A10" t="inlineStr">
        <is>
          <t>A 54485-2023</t>
        </is>
      </c>
      <c r="B10" s="1" t="n">
        <v>45233</v>
      </c>
      <c r="C10" s="1" t="n">
        <v>45472</v>
      </c>
      <c r="D10" t="inlineStr">
        <is>
          <t>KRONOBERGS LÄN</t>
        </is>
      </c>
      <c r="E10" t="inlineStr">
        <is>
          <t>MARKARYD</t>
        </is>
      </c>
      <c r="G10" t="n">
        <v>2.2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Slåtterfibbla</t>
        </is>
      </c>
      <c r="S10">
        <f>HYPERLINK("https://klasma.github.io/Logging_0767/artfynd/A 54485-2023 artfynd.xlsx", "A 54485-2023")</f>
        <v/>
      </c>
      <c r="T10">
        <f>HYPERLINK("https://klasma.github.io/Logging_0767/kartor/A 54485-2023 karta.png", "A 54485-2023")</f>
        <v/>
      </c>
      <c r="V10">
        <f>HYPERLINK("https://klasma.github.io/Logging_0767/klagomål/A 54485-2023 FSC-klagomål.docx", "A 54485-2023")</f>
        <v/>
      </c>
      <c r="W10">
        <f>HYPERLINK("https://klasma.github.io/Logging_0767/klagomålsmail/A 54485-2023 FSC-klagomål mail.docx", "A 54485-2023")</f>
        <v/>
      </c>
      <c r="X10">
        <f>HYPERLINK("https://klasma.github.io/Logging_0767/tillsyn/A 54485-2023 tillsynsbegäran.docx", "A 54485-2023")</f>
        <v/>
      </c>
      <c r="Y10">
        <f>HYPERLINK("https://klasma.github.io/Logging_0767/tillsynsmail/A 54485-2023 tillsynsbegäran mail.docx", "A 54485-2023")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45472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45472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45472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45472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45472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45472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45472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45472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45472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45472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45472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45472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45472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45472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45472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45472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45472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45472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45472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45472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45472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45472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45472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45472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45472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45472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45472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45472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45472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45472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45472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45472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45472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45472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45472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45472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45472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45472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45472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45472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45472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45472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45472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45472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45472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45472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45472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45472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45472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45472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45472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45472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45472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45472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45472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45472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45472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45472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45472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45472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45472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45472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45472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45472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45472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45472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45472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45472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45472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45472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45472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45472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45472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45472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45472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45472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45472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45472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45472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45472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45472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45472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45472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45472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45472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45472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45472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45472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45472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45472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45472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45472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45472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45472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45472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45472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45472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45472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45472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45472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45472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45472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45472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45472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45472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45472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45472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45472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45472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45472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45472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45472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45472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45472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45472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45472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45472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45472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45472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45472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45472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45472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45472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45472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45472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45472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45472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45472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45472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45472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45472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45472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45472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45472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45472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45472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45472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45472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45472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45472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45472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45472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45472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45472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45472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45472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45472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45472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45472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45472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45472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45472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45472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45472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45472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45472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45472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45472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45472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45472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45472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45472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73861-2021</t>
        </is>
      </c>
      <c r="B173" s="1" t="n">
        <v>44553</v>
      </c>
      <c r="C173" s="1" t="n">
        <v>45472</v>
      </c>
      <c r="D173" t="inlineStr">
        <is>
          <t>KRONOBERGS LÄN</t>
        </is>
      </c>
      <c r="E173" t="inlineStr">
        <is>
          <t>MARKARYD</t>
        </is>
      </c>
      <c r="G173" t="n">
        <v>3.4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74006-2021</t>
        </is>
      </c>
      <c r="B174" s="1" t="n">
        <v>44557</v>
      </c>
      <c r="C174" s="1" t="n">
        <v>45472</v>
      </c>
      <c r="D174" t="inlineStr">
        <is>
          <t>KRONOBERGS LÄN</t>
        </is>
      </c>
      <c r="E174" t="inlineStr">
        <is>
          <t>MARKARYD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74361-2021</t>
        </is>
      </c>
      <c r="B175" s="1" t="n">
        <v>44559</v>
      </c>
      <c r="C175" s="1" t="n">
        <v>45472</v>
      </c>
      <c r="D175" t="inlineStr">
        <is>
          <t>KRONOBERGS LÄN</t>
        </is>
      </c>
      <c r="E175" t="inlineStr">
        <is>
          <t>MARKARYD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74452-2021</t>
        </is>
      </c>
      <c r="B176" s="1" t="n">
        <v>44560</v>
      </c>
      <c r="C176" s="1" t="n">
        <v>45472</v>
      </c>
      <c r="D176" t="inlineStr">
        <is>
          <t>KRONOBERGS LÄN</t>
        </is>
      </c>
      <c r="E176" t="inlineStr">
        <is>
          <t>MARKARYD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306-2022</t>
        </is>
      </c>
      <c r="B177" s="1" t="n">
        <v>44565</v>
      </c>
      <c r="C177" s="1" t="n">
        <v>45472</v>
      </c>
      <c r="D177" t="inlineStr">
        <is>
          <t>KRONOBERGS LÄN</t>
        </is>
      </c>
      <c r="E177" t="inlineStr">
        <is>
          <t>MARKARYD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1130-2022</t>
        </is>
      </c>
      <c r="B178" s="1" t="n">
        <v>44572</v>
      </c>
      <c r="C178" s="1" t="n">
        <v>45472</v>
      </c>
      <c r="D178" t="inlineStr">
        <is>
          <t>KRONOBERGS LÄN</t>
        </is>
      </c>
      <c r="E178" t="inlineStr">
        <is>
          <t>MARKARYD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1116-2022</t>
        </is>
      </c>
      <c r="B179" s="1" t="n">
        <v>44572</v>
      </c>
      <c r="C179" s="1" t="n">
        <v>45472</v>
      </c>
      <c r="D179" t="inlineStr">
        <is>
          <t>KRONOBERGS LÄN</t>
        </is>
      </c>
      <c r="E179" t="inlineStr">
        <is>
          <t>MARKARYD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2139-2022</t>
        </is>
      </c>
      <c r="B180" s="1" t="n">
        <v>44578</v>
      </c>
      <c r="C180" s="1" t="n">
        <v>45472</v>
      </c>
      <c r="D180" t="inlineStr">
        <is>
          <t>KRONOBERGS LÄN</t>
        </is>
      </c>
      <c r="E180" t="inlineStr">
        <is>
          <t>MARKARYD</t>
        </is>
      </c>
      <c r="F180" t="inlineStr">
        <is>
          <t>Övriga Aktiebolag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2363-2022</t>
        </is>
      </c>
      <c r="B181" s="1" t="n">
        <v>44579</v>
      </c>
      <c r="C181" s="1" t="n">
        <v>45472</v>
      </c>
      <c r="D181" t="inlineStr">
        <is>
          <t>KRONOBERGS LÄN</t>
        </is>
      </c>
      <c r="E181" t="inlineStr">
        <is>
          <t>MARKARYD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2833-2022</t>
        </is>
      </c>
      <c r="B182" s="1" t="n">
        <v>44581</v>
      </c>
      <c r="C182" s="1" t="n">
        <v>45472</v>
      </c>
      <c r="D182" t="inlineStr">
        <is>
          <t>KRONOBERGS LÄN</t>
        </is>
      </c>
      <c r="E182" t="inlineStr">
        <is>
          <t>MARKARYD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2896-2022</t>
        </is>
      </c>
      <c r="B183" s="1" t="n">
        <v>44581</v>
      </c>
      <c r="C183" s="1" t="n">
        <v>45472</v>
      </c>
      <c r="D183" t="inlineStr">
        <is>
          <t>KRONOBERGS LÄN</t>
        </is>
      </c>
      <c r="E183" t="inlineStr">
        <is>
          <t>MARKARYD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3133-2022</t>
        </is>
      </c>
      <c r="B184" s="1" t="n">
        <v>44582</v>
      </c>
      <c r="C184" s="1" t="n">
        <v>45472</v>
      </c>
      <c r="D184" t="inlineStr">
        <is>
          <t>KRONOBERGS LÄN</t>
        </is>
      </c>
      <c r="E184" t="inlineStr">
        <is>
          <t>MARKARYD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3840-2022</t>
        </is>
      </c>
      <c r="B185" s="1" t="n">
        <v>44587</v>
      </c>
      <c r="C185" s="1" t="n">
        <v>45472</v>
      </c>
      <c r="D185" t="inlineStr">
        <is>
          <t>KRONOBERGS LÄN</t>
        </is>
      </c>
      <c r="E185" t="inlineStr">
        <is>
          <t>MARKARYD</t>
        </is>
      </c>
      <c r="G185" t="n">
        <v>6.4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3966-2022</t>
        </is>
      </c>
      <c r="B186" s="1" t="n">
        <v>44587</v>
      </c>
      <c r="C186" s="1" t="n">
        <v>45472</v>
      </c>
      <c r="D186" t="inlineStr">
        <is>
          <t>KRONOBERGS LÄN</t>
        </is>
      </c>
      <c r="E186" t="inlineStr">
        <is>
          <t>MARKARYD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5472-2022</t>
        </is>
      </c>
      <c r="B187" s="1" t="n">
        <v>44595</v>
      </c>
      <c r="C187" s="1" t="n">
        <v>45472</v>
      </c>
      <c r="D187" t="inlineStr">
        <is>
          <t>KRONOBERGS LÄN</t>
        </is>
      </c>
      <c r="E187" t="inlineStr">
        <is>
          <t>MARKARYD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5413-2022</t>
        </is>
      </c>
      <c r="B188" s="1" t="n">
        <v>44595</v>
      </c>
      <c r="C188" s="1" t="n">
        <v>45472</v>
      </c>
      <c r="D188" t="inlineStr">
        <is>
          <t>KRONOBERGS LÄN</t>
        </is>
      </c>
      <c r="E188" t="inlineStr">
        <is>
          <t>MARKARYD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6554-2022</t>
        </is>
      </c>
      <c r="B189" s="1" t="n">
        <v>44601</v>
      </c>
      <c r="C189" s="1" t="n">
        <v>45472</v>
      </c>
      <c r="D189" t="inlineStr">
        <is>
          <t>KRONOBERGS LÄN</t>
        </is>
      </c>
      <c r="E189" t="inlineStr">
        <is>
          <t>MARKARYD</t>
        </is>
      </c>
      <c r="F189" t="inlineStr">
        <is>
          <t>Kommuner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6561-2022</t>
        </is>
      </c>
      <c r="B190" s="1" t="n">
        <v>44601</v>
      </c>
      <c r="C190" s="1" t="n">
        <v>45472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1.8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6556-2022</t>
        </is>
      </c>
      <c r="B191" s="1" t="n">
        <v>44601</v>
      </c>
      <c r="C191" s="1" t="n">
        <v>45472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6559-2022</t>
        </is>
      </c>
      <c r="B192" s="1" t="n">
        <v>44601</v>
      </c>
      <c r="C192" s="1" t="n">
        <v>45472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6463-2022</t>
        </is>
      </c>
      <c r="B193" s="1" t="n">
        <v>44601</v>
      </c>
      <c r="C193" s="1" t="n">
        <v>45472</v>
      </c>
      <c r="D193" t="inlineStr">
        <is>
          <t>KRONOBERGS LÄN</t>
        </is>
      </c>
      <c r="E193" t="inlineStr">
        <is>
          <t>MARKARYD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6568-2022</t>
        </is>
      </c>
      <c r="B194" s="1" t="n">
        <v>44601</v>
      </c>
      <c r="C194" s="1" t="n">
        <v>45472</v>
      </c>
      <c r="D194" t="inlineStr">
        <is>
          <t>KRONOBERGS LÄN</t>
        </is>
      </c>
      <c r="E194" t="inlineStr">
        <is>
          <t>MARKARYD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7395-2022</t>
        </is>
      </c>
      <c r="B195" s="1" t="n">
        <v>44606</v>
      </c>
      <c r="C195" s="1" t="n">
        <v>45472</v>
      </c>
      <c r="D195" t="inlineStr">
        <is>
          <t>KRONOBERGS LÄN</t>
        </is>
      </c>
      <c r="E195" t="inlineStr">
        <is>
          <t>MARKARYD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9276-2022</t>
        </is>
      </c>
      <c r="B196" s="1" t="n">
        <v>44616</v>
      </c>
      <c r="C196" s="1" t="n">
        <v>45472</v>
      </c>
      <c r="D196" t="inlineStr">
        <is>
          <t>KRONOBERGS LÄN</t>
        </is>
      </c>
      <c r="E196" t="inlineStr">
        <is>
          <t>MARKARYD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12155-2022</t>
        </is>
      </c>
      <c r="B197" s="1" t="n">
        <v>44636</v>
      </c>
      <c r="C197" s="1" t="n">
        <v>45472</v>
      </c>
      <c r="D197" t="inlineStr">
        <is>
          <t>KRONOBERGS LÄN</t>
        </is>
      </c>
      <c r="E197" t="inlineStr">
        <is>
          <t>MARKARYD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12447-2022</t>
        </is>
      </c>
      <c r="B198" s="1" t="n">
        <v>44638</v>
      </c>
      <c r="C198" s="1" t="n">
        <v>45472</v>
      </c>
      <c r="D198" t="inlineStr">
        <is>
          <t>KRONOBERGS LÄN</t>
        </is>
      </c>
      <c r="E198" t="inlineStr">
        <is>
          <t>MARKARYD</t>
        </is>
      </c>
      <c r="G198" t="n">
        <v>4.4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12453-2022</t>
        </is>
      </c>
      <c r="B199" s="1" t="n">
        <v>44638</v>
      </c>
      <c r="C199" s="1" t="n">
        <v>45472</v>
      </c>
      <c r="D199" t="inlineStr">
        <is>
          <t>KRONOBERGS LÄN</t>
        </is>
      </c>
      <c r="E199" t="inlineStr">
        <is>
          <t>MARKARYD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12868-2022</t>
        </is>
      </c>
      <c r="B200" s="1" t="n">
        <v>44642</v>
      </c>
      <c r="C200" s="1" t="n">
        <v>45472</v>
      </c>
      <c r="D200" t="inlineStr">
        <is>
          <t>KRONOBERGS LÄN</t>
        </is>
      </c>
      <c r="E200" t="inlineStr">
        <is>
          <t>MARKARYD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13148-2022</t>
        </is>
      </c>
      <c r="B201" s="1" t="n">
        <v>44644</v>
      </c>
      <c r="C201" s="1" t="n">
        <v>45472</v>
      </c>
      <c r="D201" t="inlineStr">
        <is>
          <t>KRONOBERGS LÄN</t>
        </is>
      </c>
      <c r="E201" t="inlineStr">
        <is>
          <t>MARKARYD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16712-2022</t>
        </is>
      </c>
      <c r="B202" s="1" t="n">
        <v>44673</v>
      </c>
      <c r="C202" s="1" t="n">
        <v>45472</v>
      </c>
      <c r="D202" t="inlineStr">
        <is>
          <t>KRONOBERGS LÄN</t>
        </is>
      </c>
      <c r="E202" t="inlineStr">
        <is>
          <t>MARKARYD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16711-2022</t>
        </is>
      </c>
      <c r="B203" s="1" t="n">
        <v>44673</v>
      </c>
      <c r="C203" s="1" t="n">
        <v>45472</v>
      </c>
      <c r="D203" t="inlineStr">
        <is>
          <t>KRONOBERGS LÄN</t>
        </is>
      </c>
      <c r="E203" t="inlineStr">
        <is>
          <t>MARKARYD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17136-2022</t>
        </is>
      </c>
      <c r="B204" s="1" t="n">
        <v>44677</v>
      </c>
      <c r="C204" s="1" t="n">
        <v>45472</v>
      </c>
      <c r="D204" t="inlineStr">
        <is>
          <t>KRONOBERGS LÄN</t>
        </is>
      </c>
      <c r="E204" t="inlineStr">
        <is>
          <t>MARKARYD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17969-2022</t>
        </is>
      </c>
      <c r="B205" s="1" t="n">
        <v>44683</v>
      </c>
      <c r="C205" s="1" t="n">
        <v>45472</v>
      </c>
      <c r="D205" t="inlineStr">
        <is>
          <t>KRONOBERGS LÄN</t>
        </is>
      </c>
      <c r="E205" t="inlineStr">
        <is>
          <t>MARKARYD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19332-2022</t>
        </is>
      </c>
      <c r="B206" s="1" t="n">
        <v>44692</v>
      </c>
      <c r="C206" s="1" t="n">
        <v>45472</v>
      </c>
      <c r="D206" t="inlineStr">
        <is>
          <t>KRONOBERGS LÄN</t>
        </is>
      </c>
      <c r="E206" t="inlineStr">
        <is>
          <t>MARKARYD</t>
        </is>
      </c>
      <c r="G206" t="n">
        <v>0.2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20008-2022</t>
        </is>
      </c>
      <c r="B207" s="1" t="n">
        <v>44697</v>
      </c>
      <c r="C207" s="1" t="n">
        <v>45472</v>
      </c>
      <c r="D207" t="inlineStr">
        <is>
          <t>KRONOBERGS LÄN</t>
        </is>
      </c>
      <c r="E207" t="inlineStr">
        <is>
          <t>MARKARYD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20571-2022</t>
        </is>
      </c>
      <c r="B208" s="1" t="n">
        <v>44700</v>
      </c>
      <c r="C208" s="1" t="n">
        <v>45472</v>
      </c>
      <c r="D208" t="inlineStr">
        <is>
          <t>KRONOBERGS LÄN</t>
        </is>
      </c>
      <c r="E208" t="inlineStr">
        <is>
          <t>MARKARYD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20664-2022</t>
        </is>
      </c>
      <c r="B209" s="1" t="n">
        <v>44700</v>
      </c>
      <c r="C209" s="1" t="n">
        <v>45472</v>
      </c>
      <c r="D209" t="inlineStr">
        <is>
          <t>KRONOBERGS LÄN</t>
        </is>
      </c>
      <c r="E209" t="inlineStr">
        <is>
          <t>MARKARYD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20658-2022</t>
        </is>
      </c>
      <c r="B210" s="1" t="n">
        <v>44700</v>
      </c>
      <c r="C210" s="1" t="n">
        <v>45472</v>
      </c>
      <c r="D210" t="inlineStr">
        <is>
          <t>KRONOBERGS LÄN</t>
        </is>
      </c>
      <c r="E210" t="inlineStr">
        <is>
          <t>MARKARYD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20659-2022</t>
        </is>
      </c>
      <c r="B211" s="1" t="n">
        <v>44700</v>
      </c>
      <c r="C211" s="1" t="n">
        <v>45472</v>
      </c>
      <c r="D211" t="inlineStr">
        <is>
          <t>KRONOBERGS LÄN</t>
        </is>
      </c>
      <c r="E211" t="inlineStr">
        <is>
          <t>MARKARYD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20661-2022</t>
        </is>
      </c>
      <c r="B212" s="1" t="n">
        <v>44700</v>
      </c>
      <c r="C212" s="1" t="n">
        <v>45472</v>
      </c>
      <c r="D212" t="inlineStr">
        <is>
          <t>KRONOBERGS LÄN</t>
        </is>
      </c>
      <c r="E212" t="inlineStr">
        <is>
          <t>MARKARYD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20878-2022</t>
        </is>
      </c>
      <c r="B213" s="1" t="n">
        <v>44701</v>
      </c>
      <c r="C213" s="1" t="n">
        <v>45472</v>
      </c>
      <c r="D213" t="inlineStr">
        <is>
          <t>KRONOBERGS LÄN</t>
        </is>
      </c>
      <c r="E213" t="inlineStr">
        <is>
          <t>MARKARYD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30340-2022</t>
        </is>
      </c>
      <c r="B214" s="1" t="n">
        <v>44760</v>
      </c>
      <c r="C214" s="1" t="n">
        <v>45472</v>
      </c>
      <c r="D214" t="inlineStr">
        <is>
          <t>KRONOBERGS LÄN</t>
        </is>
      </c>
      <c r="E214" t="inlineStr">
        <is>
          <t>MARKARYD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34282-2022</t>
        </is>
      </c>
      <c r="B215" s="1" t="n">
        <v>44788</v>
      </c>
      <c r="C215" s="1" t="n">
        <v>45472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34303-2022</t>
        </is>
      </c>
      <c r="B216" s="1" t="n">
        <v>44788</v>
      </c>
      <c r="C216" s="1" t="n">
        <v>45472</v>
      </c>
      <c r="D216" t="inlineStr">
        <is>
          <t>KRONOBERGS LÄN</t>
        </is>
      </c>
      <c r="E216" t="inlineStr">
        <is>
          <t>MARKARYD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33882-2022</t>
        </is>
      </c>
      <c r="B217" s="1" t="n">
        <v>44790</v>
      </c>
      <c r="C217" s="1" t="n">
        <v>45472</v>
      </c>
      <c r="D217" t="inlineStr">
        <is>
          <t>KRONOBERGS LÄN</t>
        </is>
      </c>
      <c r="E217" t="inlineStr">
        <is>
          <t>MARKARYD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35319-2022</t>
        </is>
      </c>
      <c r="B218" s="1" t="n">
        <v>44798</v>
      </c>
      <c r="C218" s="1" t="n">
        <v>45472</v>
      </c>
      <c r="D218" t="inlineStr">
        <is>
          <t>KRONOBERGS LÄN</t>
        </is>
      </c>
      <c r="E218" t="inlineStr">
        <is>
          <t>MARKARYD</t>
        </is>
      </c>
      <c r="G218" t="n">
        <v>20.7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36066-2022</t>
        </is>
      </c>
      <c r="B219" s="1" t="n">
        <v>44802</v>
      </c>
      <c r="C219" s="1" t="n">
        <v>45472</v>
      </c>
      <c r="D219" t="inlineStr">
        <is>
          <t>KRONOBERGS LÄN</t>
        </is>
      </c>
      <c r="E219" t="inlineStr">
        <is>
          <t>MARKARYD</t>
        </is>
      </c>
      <c r="G219" t="n">
        <v>8.4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36065-2022</t>
        </is>
      </c>
      <c r="B220" s="1" t="n">
        <v>44802</v>
      </c>
      <c r="C220" s="1" t="n">
        <v>45472</v>
      </c>
      <c r="D220" t="inlineStr">
        <is>
          <t>KRONOBERGS LÄN</t>
        </is>
      </c>
      <c r="E220" t="inlineStr">
        <is>
          <t>MARKARYD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36069-2022</t>
        </is>
      </c>
      <c r="B221" s="1" t="n">
        <v>44802</v>
      </c>
      <c r="C221" s="1" t="n">
        <v>45472</v>
      </c>
      <c r="D221" t="inlineStr">
        <is>
          <t>KRONOBERGS LÄN</t>
        </is>
      </c>
      <c r="E221" t="inlineStr">
        <is>
          <t>MARKARYD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36067-2022</t>
        </is>
      </c>
      <c r="B222" s="1" t="n">
        <v>44802</v>
      </c>
      <c r="C222" s="1" t="n">
        <v>45472</v>
      </c>
      <c r="D222" t="inlineStr">
        <is>
          <t>KRONOBERGS LÄN</t>
        </is>
      </c>
      <c r="E222" t="inlineStr">
        <is>
          <t>MARKARYD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36064-2022</t>
        </is>
      </c>
      <c r="B223" s="1" t="n">
        <v>44802</v>
      </c>
      <c r="C223" s="1" t="n">
        <v>45472</v>
      </c>
      <c r="D223" t="inlineStr">
        <is>
          <t>KRONOBERGS LÄN</t>
        </is>
      </c>
      <c r="E223" t="inlineStr">
        <is>
          <t>MARKARYD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36068-2022</t>
        </is>
      </c>
      <c r="B224" s="1" t="n">
        <v>44802</v>
      </c>
      <c r="C224" s="1" t="n">
        <v>45472</v>
      </c>
      <c r="D224" t="inlineStr">
        <is>
          <t>KRONOBERGS LÄN</t>
        </is>
      </c>
      <c r="E224" t="inlineStr">
        <is>
          <t>MARKARYD</t>
        </is>
      </c>
      <c r="G224" t="n">
        <v>4.6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36804-2022</t>
        </is>
      </c>
      <c r="B225" s="1" t="n">
        <v>44805</v>
      </c>
      <c r="C225" s="1" t="n">
        <v>45472</v>
      </c>
      <c r="D225" t="inlineStr">
        <is>
          <t>KRONOBERGS LÄN</t>
        </is>
      </c>
      <c r="E225" t="inlineStr">
        <is>
          <t>MARKARYD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37016-2022</t>
        </is>
      </c>
      <c r="B226" s="1" t="n">
        <v>44806</v>
      </c>
      <c r="C226" s="1" t="n">
        <v>45472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37029-2022</t>
        </is>
      </c>
      <c r="B227" s="1" t="n">
        <v>44806</v>
      </c>
      <c r="C227" s="1" t="n">
        <v>45472</v>
      </c>
      <c r="D227" t="inlineStr">
        <is>
          <t>KRONOBERGS LÄN</t>
        </is>
      </c>
      <c r="E227" t="inlineStr">
        <is>
          <t>MARKARYD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37557-2022</t>
        </is>
      </c>
      <c r="B228" s="1" t="n">
        <v>44809</v>
      </c>
      <c r="C228" s="1" t="n">
        <v>45472</v>
      </c>
      <c r="D228" t="inlineStr">
        <is>
          <t>KRONOBERGS LÄN</t>
        </is>
      </c>
      <c r="E228" t="inlineStr">
        <is>
          <t>MARKARYD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37818-2022</t>
        </is>
      </c>
      <c r="B229" s="1" t="n">
        <v>44810</v>
      </c>
      <c r="C229" s="1" t="n">
        <v>45472</v>
      </c>
      <c r="D229" t="inlineStr">
        <is>
          <t>KRONOBERGS LÄN</t>
        </is>
      </c>
      <c r="E229" t="inlineStr">
        <is>
          <t>MARKARYD</t>
        </is>
      </c>
      <c r="G229" t="n">
        <v>5.2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39483-2022</t>
        </is>
      </c>
      <c r="B230" s="1" t="n">
        <v>44818</v>
      </c>
      <c r="C230" s="1" t="n">
        <v>45472</v>
      </c>
      <c r="D230" t="inlineStr">
        <is>
          <t>KRONOBERGS LÄN</t>
        </is>
      </c>
      <c r="E230" t="inlineStr">
        <is>
          <t>MARKARYD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40586-2022</t>
        </is>
      </c>
      <c r="B231" s="1" t="n">
        <v>44823</v>
      </c>
      <c r="C231" s="1" t="n">
        <v>45472</v>
      </c>
      <c r="D231" t="inlineStr">
        <is>
          <t>KRONOBERGS LÄN</t>
        </is>
      </c>
      <c r="E231" t="inlineStr">
        <is>
          <t>MARKARYD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43447-2022</t>
        </is>
      </c>
      <c r="B232" s="1" t="n">
        <v>44835</v>
      </c>
      <c r="C232" s="1" t="n">
        <v>45472</v>
      </c>
      <c r="D232" t="inlineStr">
        <is>
          <t>KRONOBERGS LÄN</t>
        </is>
      </c>
      <c r="E232" t="inlineStr">
        <is>
          <t>MARKARYD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43623-2022</t>
        </is>
      </c>
      <c r="B233" s="1" t="n">
        <v>44837</v>
      </c>
      <c r="C233" s="1" t="n">
        <v>45472</v>
      </c>
      <c r="D233" t="inlineStr">
        <is>
          <t>KRONOBERGS LÄN</t>
        </is>
      </c>
      <c r="E233" t="inlineStr">
        <is>
          <t>MARKARYD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44827-2022</t>
        </is>
      </c>
      <c r="B234" s="1" t="n">
        <v>44839</v>
      </c>
      <c r="C234" s="1" t="n">
        <v>45472</v>
      </c>
      <c r="D234" t="inlineStr">
        <is>
          <t>KRONOBERGS LÄN</t>
        </is>
      </c>
      <c r="E234" t="inlineStr">
        <is>
          <t>MARKARYD</t>
        </is>
      </c>
      <c r="F234" t="inlineStr">
        <is>
          <t>Kyrkan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45386-2022</t>
        </is>
      </c>
      <c r="B235" s="1" t="n">
        <v>44844</v>
      </c>
      <c r="C235" s="1" t="n">
        <v>45472</v>
      </c>
      <c r="D235" t="inlineStr">
        <is>
          <t>KRONOBERGS LÄN</t>
        </is>
      </c>
      <c r="E235" t="inlineStr">
        <is>
          <t>MARKARYD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45958-2022</t>
        </is>
      </c>
      <c r="B236" s="1" t="n">
        <v>44846</v>
      </c>
      <c r="C236" s="1" t="n">
        <v>45472</v>
      </c>
      <c r="D236" t="inlineStr">
        <is>
          <t>KRONOBERGS LÄN</t>
        </is>
      </c>
      <c r="E236" t="inlineStr">
        <is>
          <t>MARKARYD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46243-2022</t>
        </is>
      </c>
      <c r="B237" s="1" t="n">
        <v>44847</v>
      </c>
      <c r="C237" s="1" t="n">
        <v>45472</v>
      </c>
      <c r="D237" t="inlineStr">
        <is>
          <t>KRONOBERGS LÄN</t>
        </is>
      </c>
      <c r="E237" t="inlineStr">
        <is>
          <t>MARKARYD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46395-2022</t>
        </is>
      </c>
      <c r="B238" s="1" t="n">
        <v>44848</v>
      </c>
      <c r="C238" s="1" t="n">
        <v>45472</v>
      </c>
      <c r="D238" t="inlineStr">
        <is>
          <t>KRONOBERGS LÄN</t>
        </is>
      </c>
      <c r="E238" t="inlineStr">
        <is>
          <t>MARKARYD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46392-2022</t>
        </is>
      </c>
      <c r="B239" s="1" t="n">
        <v>44848</v>
      </c>
      <c r="C239" s="1" t="n">
        <v>45472</v>
      </c>
      <c r="D239" t="inlineStr">
        <is>
          <t>KRONOBERGS LÄN</t>
        </is>
      </c>
      <c r="E239" t="inlineStr">
        <is>
          <t>MARKARYD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48845-2022</t>
        </is>
      </c>
      <c r="B240" s="1" t="n">
        <v>44859</v>
      </c>
      <c r="C240" s="1" t="n">
        <v>45472</v>
      </c>
      <c r="D240" t="inlineStr">
        <is>
          <t>KRONOBERGS LÄN</t>
        </is>
      </c>
      <c r="E240" t="inlineStr">
        <is>
          <t>MARKARYD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50211-2022</t>
        </is>
      </c>
      <c r="B241" s="1" t="n">
        <v>44865</v>
      </c>
      <c r="C241" s="1" t="n">
        <v>45472</v>
      </c>
      <c r="D241" t="inlineStr">
        <is>
          <t>KRONOBERGS LÄN</t>
        </is>
      </c>
      <c r="E241" t="inlineStr">
        <is>
          <t>MARKARYD</t>
        </is>
      </c>
      <c r="F241" t="inlineStr">
        <is>
          <t>Sveaskog</t>
        </is>
      </c>
      <c r="G241" t="n">
        <v>0.3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51968-2022</t>
        </is>
      </c>
      <c r="B242" s="1" t="n">
        <v>44872</v>
      </c>
      <c r="C242" s="1" t="n">
        <v>45472</v>
      </c>
      <c r="D242" t="inlineStr">
        <is>
          <t>KRONOBERGS LÄN</t>
        </is>
      </c>
      <c r="E242" t="inlineStr">
        <is>
          <t>MARKARYD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52873-2022</t>
        </is>
      </c>
      <c r="B243" s="1" t="n">
        <v>44875</v>
      </c>
      <c r="C243" s="1" t="n">
        <v>45472</v>
      </c>
      <c r="D243" t="inlineStr">
        <is>
          <t>KRONOBERGS LÄN</t>
        </is>
      </c>
      <c r="E243" t="inlineStr">
        <is>
          <t>MARKARYD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52870-2022</t>
        </is>
      </c>
      <c r="B244" s="1" t="n">
        <v>44875</v>
      </c>
      <c r="C244" s="1" t="n">
        <v>45472</v>
      </c>
      <c r="D244" t="inlineStr">
        <is>
          <t>KRONOBERGS LÄN</t>
        </is>
      </c>
      <c r="E244" t="inlineStr">
        <is>
          <t>MARKARYD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53481-2022</t>
        </is>
      </c>
      <c r="B245" s="1" t="n">
        <v>44879</v>
      </c>
      <c r="C245" s="1" t="n">
        <v>45472</v>
      </c>
      <c r="D245" t="inlineStr">
        <is>
          <t>KRONOBERGS LÄN</t>
        </is>
      </c>
      <c r="E245" t="inlineStr">
        <is>
          <t>MARKARYD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55844-2022</t>
        </is>
      </c>
      <c r="B246" s="1" t="n">
        <v>44886</v>
      </c>
      <c r="C246" s="1" t="n">
        <v>45472</v>
      </c>
      <c r="D246" t="inlineStr">
        <is>
          <t>KRONOBERGS LÄN</t>
        </is>
      </c>
      <c r="E246" t="inlineStr">
        <is>
          <t>MARKARYD</t>
        </is>
      </c>
      <c r="F246" t="inlineStr">
        <is>
          <t>Kyrkan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55332-2022</t>
        </is>
      </c>
      <c r="B247" s="1" t="n">
        <v>44887</v>
      </c>
      <c r="C247" s="1" t="n">
        <v>45472</v>
      </c>
      <c r="D247" t="inlineStr">
        <is>
          <t>KRONOBERGS LÄN</t>
        </is>
      </c>
      <c r="E247" t="inlineStr">
        <is>
          <t>MARKARYD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55336-2022</t>
        </is>
      </c>
      <c r="B248" s="1" t="n">
        <v>44887</v>
      </c>
      <c r="C248" s="1" t="n">
        <v>45472</v>
      </c>
      <c r="D248" t="inlineStr">
        <is>
          <t>KRONOBERGS LÄN</t>
        </is>
      </c>
      <c r="E248" t="inlineStr">
        <is>
          <t>MARKARYD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57082-2022</t>
        </is>
      </c>
      <c r="B249" s="1" t="n">
        <v>44895</v>
      </c>
      <c r="C249" s="1" t="n">
        <v>45472</v>
      </c>
      <c r="D249" t="inlineStr">
        <is>
          <t>KRONOBERGS LÄN</t>
        </is>
      </c>
      <c r="E249" t="inlineStr">
        <is>
          <t>MARKARYD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58686-2022</t>
        </is>
      </c>
      <c r="B250" s="1" t="n">
        <v>44902</v>
      </c>
      <c r="C250" s="1" t="n">
        <v>45472</v>
      </c>
      <c r="D250" t="inlineStr">
        <is>
          <t>KRONOBERGS LÄN</t>
        </is>
      </c>
      <c r="E250" t="inlineStr">
        <is>
          <t>MARKARYD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58694-2022</t>
        </is>
      </c>
      <c r="B251" s="1" t="n">
        <v>44902</v>
      </c>
      <c r="C251" s="1" t="n">
        <v>45472</v>
      </c>
      <c r="D251" t="inlineStr">
        <is>
          <t>KRONOBERGS LÄN</t>
        </is>
      </c>
      <c r="E251" t="inlineStr">
        <is>
          <t>MARKARYD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60457-2022</t>
        </is>
      </c>
      <c r="B252" s="1" t="n">
        <v>44911</v>
      </c>
      <c r="C252" s="1" t="n">
        <v>45472</v>
      </c>
      <c r="D252" t="inlineStr">
        <is>
          <t>KRONOBERGS LÄN</t>
        </is>
      </c>
      <c r="E252" t="inlineStr">
        <is>
          <t>MARKARYD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60531-2022</t>
        </is>
      </c>
      <c r="B253" s="1" t="n">
        <v>44911</v>
      </c>
      <c r="C253" s="1" t="n">
        <v>45472</v>
      </c>
      <c r="D253" t="inlineStr">
        <is>
          <t>KRONOBERGS LÄN</t>
        </is>
      </c>
      <c r="E253" t="inlineStr">
        <is>
          <t>MARKARYD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61283-2022</t>
        </is>
      </c>
      <c r="B254" s="1" t="n">
        <v>44915</v>
      </c>
      <c r="C254" s="1" t="n">
        <v>45472</v>
      </c>
      <c r="D254" t="inlineStr">
        <is>
          <t>KRONOBERGS LÄN</t>
        </is>
      </c>
      <c r="E254" t="inlineStr">
        <is>
          <t>MARKARYD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93-2023</t>
        </is>
      </c>
      <c r="B255" s="1" t="n">
        <v>44928</v>
      </c>
      <c r="C255" s="1" t="n">
        <v>45472</v>
      </c>
      <c r="D255" t="inlineStr">
        <is>
          <t>KRONOBERGS LÄN</t>
        </is>
      </c>
      <c r="E255" t="inlineStr">
        <is>
          <t>MARKARYD</t>
        </is>
      </c>
      <c r="G255" t="n">
        <v>7.4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1052-2023</t>
        </is>
      </c>
      <c r="B256" s="1" t="n">
        <v>44935</v>
      </c>
      <c r="C256" s="1" t="n">
        <v>45472</v>
      </c>
      <c r="D256" t="inlineStr">
        <is>
          <t>KRONOBERGS LÄN</t>
        </is>
      </c>
      <c r="E256" t="inlineStr">
        <is>
          <t>MARKARYD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1080-2023</t>
        </is>
      </c>
      <c r="B257" s="1" t="n">
        <v>44935</v>
      </c>
      <c r="C257" s="1" t="n">
        <v>45472</v>
      </c>
      <c r="D257" t="inlineStr">
        <is>
          <t>KRONOBERGS LÄN</t>
        </is>
      </c>
      <c r="E257" t="inlineStr">
        <is>
          <t>MARKARYD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1160-2023</t>
        </is>
      </c>
      <c r="B258" s="1" t="n">
        <v>44935</v>
      </c>
      <c r="C258" s="1" t="n">
        <v>45472</v>
      </c>
      <c r="D258" t="inlineStr">
        <is>
          <t>KRONOBERGS LÄN</t>
        </is>
      </c>
      <c r="E258" t="inlineStr">
        <is>
          <t>MARKARYD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1107-2023</t>
        </is>
      </c>
      <c r="B259" s="1" t="n">
        <v>44935</v>
      </c>
      <c r="C259" s="1" t="n">
        <v>45472</v>
      </c>
      <c r="D259" t="inlineStr">
        <is>
          <t>KRONOBERGS LÄN</t>
        </is>
      </c>
      <c r="E259" t="inlineStr">
        <is>
          <t>MARKARYD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1657-2023</t>
        </is>
      </c>
      <c r="B260" s="1" t="n">
        <v>44938</v>
      </c>
      <c r="C260" s="1" t="n">
        <v>45472</v>
      </c>
      <c r="D260" t="inlineStr">
        <is>
          <t>KRONOBERGS LÄN</t>
        </is>
      </c>
      <c r="E260" t="inlineStr">
        <is>
          <t>MARKARYD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3533-2023</t>
        </is>
      </c>
      <c r="B261" s="1" t="n">
        <v>44950</v>
      </c>
      <c r="C261" s="1" t="n">
        <v>45472</v>
      </c>
      <c r="D261" t="inlineStr">
        <is>
          <t>KRONOBERGS LÄN</t>
        </is>
      </c>
      <c r="E261" t="inlineStr">
        <is>
          <t>MARKARYD</t>
        </is>
      </c>
      <c r="G261" t="n">
        <v>13.2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4474-2023</t>
        </is>
      </c>
      <c r="B262" s="1" t="n">
        <v>44956</v>
      </c>
      <c r="C262" s="1" t="n">
        <v>45472</v>
      </c>
      <c r="D262" t="inlineStr">
        <is>
          <t>KRONOBERGS LÄN</t>
        </is>
      </c>
      <c r="E262" t="inlineStr">
        <is>
          <t>MARKARYD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4575-2023</t>
        </is>
      </c>
      <c r="B263" s="1" t="n">
        <v>44956</v>
      </c>
      <c r="C263" s="1" t="n">
        <v>45472</v>
      </c>
      <c r="D263" t="inlineStr">
        <is>
          <t>KRONOBERGS LÄN</t>
        </is>
      </c>
      <c r="E263" t="inlineStr">
        <is>
          <t>MARKARYD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4473-2023</t>
        </is>
      </c>
      <c r="B264" s="1" t="n">
        <v>44956</v>
      </c>
      <c r="C264" s="1" t="n">
        <v>45472</v>
      </c>
      <c r="D264" t="inlineStr">
        <is>
          <t>KRONOBERGS LÄN</t>
        </is>
      </c>
      <c r="E264" t="inlineStr">
        <is>
          <t>MARKARYD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4963-2023</t>
        </is>
      </c>
      <c r="B265" s="1" t="n">
        <v>44958</v>
      </c>
      <c r="C265" s="1" t="n">
        <v>45472</v>
      </c>
      <c r="D265" t="inlineStr">
        <is>
          <t>KRONOBERGS LÄN</t>
        </is>
      </c>
      <c r="E265" t="inlineStr">
        <is>
          <t>MARKARYD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7121-2023</t>
        </is>
      </c>
      <c r="B266" s="1" t="n">
        <v>44970</v>
      </c>
      <c r="C266" s="1" t="n">
        <v>45472</v>
      </c>
      <c r="D266" t="inlineStr">
        <is>
          <t>KRONOBERGS LÄN</t>
        </is>
      </c>
      <c r="E266" t="inlineStr">
        <is>
          <t>MARKARYD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7891-2023</t>
        </is>
      </c>
      <c r="B267" s="1" t="n">
        <v>44973</v>
      </c>
      <c r="C267" s="1" t="n">
        <v>45472</v>
      </c>
      <c r="D267" t="inlineStr">
        <is>
          <t>KRONOBERGS LÄN</t>
        </is>
      </c>
      <c r="E267" t="inlineStr">
        <is>
          <t>MARKARYD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8336-2023</t>
        </is>
      </c>
      <c r="B268" s="1" t="n">
        <v>44975</v>
      </c>
      <c r="C268" s="1" t="n">
        <v>45472</v>
      </c>
      <c r="D268" t="inlineStr">
        <is>
          <t>KRONOBERGS LÄN</t>
        </is>
      </c>
      <c r="E268" t="inlineStr">
        <is>
          <t>MARKARYD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8335-2023</t>
        </is>
      </c>
      <c r="B269" s="1" t="n">
        <v>44975</v>
      </c>
      <c r="C269" s="1" t="n">
        <v>45472</v>
      </c>
      <c r="D269" t="inlineStr">
        <is>
          <t>KRONOBERGS LÄN</t>
        </is>
      </c>
      <c r="E269" t="inlineStr">
        <is>
          <t>MARKARYD</t>
        </is>
      </c>
      <c r="G269" t="n">
        <v>6.3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8494-2023</t>
        </is>
      </c>
      <c r="B270" s="1" t="n">
        <v>44977</v>
      </c>
      <c r="C270" s="1" t="n">
        <v>45472</v>
      </c>
      <c r="D270" t="inlineStr">
        <is>
          <t>KRONOBERGS LÄN</t>
        </is>
      </c>
      <c r="E270" t="inlineStr">
        <is>
          <t>MARKARYD</t>
        </is>
      </c>
      <c r="G270" t="n">
        <v>13.6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8501-2023</t>
        </is>
      </c>
      <c r="B271" s="1" t="n">
        <v>44977</v>
      </c>
      <c r="C271" s="1" t="n">
        <v>45472</v>
      </c>
      <c r="D271" t="inlineStr">
        <is>
          <t>KRONOBERGS LÄN</t>
        </is>
      </c>
      <c r="E271" t="inlineStr">
        <is>
          <t>MARKARYD</t>
        </is>
      </c>
      <c r="G271" t="n">
        <v>20.7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9134-2023</t>
        </is>
      </c>
      <c r="B272" s="1" t="n">
        <v>44980</v>
      </c>
      <c r="C272" s="1" t="n">
        <v>45472</v>
      </c>
      <c r="D272" t="inlineStr">
        <is>
          <t>KRONOBERGS LÄN</t>
        </is>
      </c>
      <c r="E272" t="inlineStr">
        <is>
          <t>MARKARYD</t>
        </is>
      </c>
      <c r="G272" t="n">
        <v>4.6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9669-2023</t>
        </is>
      </c>
      <c r="B273" s="1" t="n">
        <v>44984</v>
      </c>
      <c r="C273" s="1" t="n">
        <v>45472</v>
      </c>
      <c r="D273" t="inlineStr">
        <is>
          <t>KRONOBERGS LÄN</t>
        </is>
      </c>
      <c r="E273" t="inlineStr">
        <is>
          <t>MARKARYD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10702-2023</t>
        </is>
      </c>
      <c r="B274" s="1" t="n">
        <v>44984</v>
      </c>
      <c r="C274" s="1" t="n">
        <v>45472</v>
      </c>
      <c r="D274" t="inlineStr">
        <is>
          <t>KRONOBERGS LÄN</t>
        </is>
      </c>
      <c r="E274" t="inlineStr">
        <is>
          <t>MARKARYD</t>
        </is>
      </c>
      <c r="G274" t="n">
        <v>5.9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10685-2023</t>
        </is>
      </c>
      <c r="B275" s="1" t="n">
        <v>44988</v>
      </c>
      <c r="C275" s="1" t="n">
        <v>45472</v>
      </c>
      <c r="D275" t="inlineStr">
        <is>
          <t>KRONOBERGS LÄN</t>
        </is>
      </c>
      <c r="E275" t="inlineStr">
        <is>
          <t>MARKARYD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11169-2023</t>
        </is>
      </c>
      <c r="B276" s="1" t="n">
        <v>44992</v>
      </c>
      <c r="C276" s="1" t="n">
        <v>45472</v>
      </c>
      <c r="D276" t="inlineStr">
        <is>
          <t>KRONOBERGS LÄN</t>
        </is>
      </c>
      <c r="E276" t="inlineStr">
        <is>
          <t>MARKARYD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11175-2023</t>
        </is>
      </c>
      <c r="B277" s="1" t="n">
        <v>44992</v>
      </c>
      <c r="C277" s="1" t="n">
        <v>45472</v>
      </c>
      <c r="D277" t="inlineStr">
        <is>
          <t>KRONOBERGS LÄN</t>
        </is>
      </c>
      <c r="E277" t="inlineStr">
        <is>
          <t>MARKARYD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11065-2023</t>
        </is>
      </c>
      <c r="B278" s="1" t="n">
        <v>44992</v>
      </c>
      <c r="C278" s="1" t="n">
        <v>45472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11172-2023</t>
        </is>
      </c>
      <c r="B279" s="1" t="n">
        <v>44992</v>
      </c>
      <c r="C279" s="1" t="n">
        <v>45472</v>
      </c>
      <c r="D279" t="inlineStr">
        <is>
          <t>KRONOBERGS LÄN</t>
        </is>
      </c>
      <c r="E279" t="inlineStr">
        <is>
          <t>MARKARYD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11781-2023</t>
        </is>
      </c>
      <c r="B280" s="1" t="n">
        <v>44994</v>
      </c>
      <c r="C280" s="1" t="n">
        <v>45472</v>
      </c>
      <c r="D280" t="inlineStr">
        <is>
          <t>KRONOBERGS LÄN</t>
        </is>
      </c>
      <c r="E280" t="inlineStr">
        <is>
          <t>MARKARYD</t>
        </is>
      </c>
      <c r="G280" t="n">
        <v>4.7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12208-2023</t>
        </is>
      </c>
      <c r="B281" s="1" t="n">
        <v>44995</v>
      </c>
      <c r="C281" s="1" t="n">
        <v>45472</v>
      </c>
      <c r="D281" t="inlineStr">
        <is>
          <t>KRONOBERGS LÄN</t>
        </is>
      </c>
      <c r="E281" t="inlineStr">
        <is>
          <t>MARKARYD</t>
        </is>
      </c>
      <c r="F281" t="inlineStr">
        <is>
          <t>Kyrkan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12422-2023</t>
        </is>
      </c>
      <c r="B282" s="1" t="n">
        <v>44999</v>
      </c>
      <c r="C282" s="1" t="n">
        <v>45472</v>
      </c>
      <c r="D282" t="inlineStr">
        <is>
          <t>KRONOBERGS LÄN</t>
        </is>
      </c>
      <c r="E282" t="inlineStr">
        <is>
          <t>MARKARYD</t>
        </is>
      </c>
      <c r="G282" t="n">
        <v>4.9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12850-2023</t>
        </is>
      </c>
      <c r="B283" s="1" t="n">
        <v>45000</v>
      </c>
      <c r="C283" s="1" t="n">
        <v>45472</v>
      </c>
      <c r="D283" t="inlineStr">
        <is>
          <t>KRONOBERGS LÄN</t>
        </is>
      </c>
      <c r="E283" t="inlineStr">
        <is>
          <t>MARKARYD</t>
        </is>
      </c>
      <c r="F283" t="inlineStr">
        <is>
          <t>Kyrkan</t>
        </is>
      </c>
      <c r="G283" t="n">
        <v>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12854-2023</t>
        </is>
      </c>
      <c r="B284" s="1" t="n">
        <v>45000</v>
      </c>
      <c r="C284" s="1" t="n">
        <v>45472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12758-2023</t>
        </is>
      </c>
      <c r="B285" s="1" t="n">
        <v>45001</v>
      </c>
      <c r="C285" s="1" t="n">
        <v>45472</v>
      </c>
      <c r="D285" t="inlineStr">
        <is>
          <t>KRONOBERGS LÄN</t>
        </is>
      </c>
      <c r="E285" t="inlineStr">
        <is>
          <t>MARKARYD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13614-2023</t>
        </is>
      </c>
      <c r="B286" s="1" t="n">
        <v>45006</v>
      </c>
      <c r="C286" s="1" t="n">
        <v>45472</v>
      </c>
      <c r="D286" t="inlineStr">
        <is>
          <t>KRONOBERGS LÄN</t>
        </is>
      </c>
      <c r="E286" t="inlineStr">
        <is>
          <t>MARKARYD</t>
        </is>
      </c>
      <c r="G286" t="n">
        <v>7.9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13951-2023</t>
        </is>
      </c>
      <c r="B287" s="1" t="n">
        <v>45008</v>
      </c>
      <c r="C287" s="1" t="n">
        <v>45472</v>
      </c>
      <c r="D287" t="inlineStr">
        <is>
          <t>KRONOBERGS LÄN</t>
        </is>
      </c>
      <c r="E287" t="inlineStr">
        <is>
          <t>MARKARYD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13937-2023</t>
        </is>
      </c>
      <c r="B288" s="1" t="n">
        <v>45008</v>
      </c>
      <c r="C288" s="1" t="n">
        <v>45472</v>
      </c>
      <c r="D288" t="inlineStr">
        <is>
          <t>KRONOBERGS LÄN</t>
        </is>
      </c>
      <c r="E288" t="inlineStr">
        <is>
          <t>MARKARYD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14146-2023</t>
        </is>
      </c>
      <c r="B289" s="1" t="n">
        <v>45009</v>
      </c>
      <c r="C289" s="1" t="n">
        <v>45472</v>
      </c>
      <c r="D289" t="inlineStr">
        <is>
          <t>KRONOBERGS LÄN</t>
        </is>
      </c>
      <c r="E289" t="inlineStr">
        <is>
          <t>MARKARYD</t>
        </is>
      </c>
      <c r="F289" t="inlineStr">
        <is>
          <t>Sveaskog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14350-2023</t>
        </is>
      </c>
      <c r="B290" s="1" t="n">
        <v>45012</v>
      </c>
      <c r="C290" s="1" t="n">
        <v>45472</v>
      </c>
      <c r="D290" t="inlineStr">
        <is>
          <t>KRONOBERGS LÄN</t>
        </is>
      </c>
      <c r="E290" t="inlineStr">
        <is>
          <t>MARKARYD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14568-2023</t>
        </is>
      </c>
      <c r="B291" s="1" t="n">
        <v>45013</v>
      </c>
      <c r="C291" s="1" t="n">
        <v>45472</v>
      </c>
      <c r="D291" t="inlineStr">
        <is>
          <t>KRONOBERGS LÄN</t>
        </is>
      </c>
      <c r="E291" t="inlineStr">
        <is>
          <t>MARKARYD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15731-2023</t>
        </is>
      </c>
      <c r="B292" s="1" t="n">
        <v>45021</v>
      </c>
      <c r="C292" s="1" t="n">
        <v>45472</v>
      </c>
      <c r="D292" t="inlineStr">
        <is>
          <t>KRONOBERGS LÄN</t>
        </is>
      </c>
      <c r="E292" t="inlineStr">
        <is>
          <t>MARKARYD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16022-2023</t>
        </is>
      </c>
      <c r="B293" s="1" t="n">
        <v>45026</v>
      </c>
      <c r="C293" s="1" t="n">
        <v>45472</v>
      </c>
      <c r="D293" t="inlineStr">
        <is>
          <t>KRONOBERGS LÄN</t>
        </is>
      </c>
      <c r="E293" t="inlineStr">
        <is>
          <t>MARKARYD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16202-2023</t>
        </is>
      </c>
      <c r="B294" s="1" t="n">
        <v>45028</v>
      </c>
      <c r="C294" s="1" t="n">
        <v>45472</v>
      </c>
      <c r="D294" t="inlineStr">
        <is>
          <t>KRONOBERGS LÄN</t>
        </is>
      </c>
      <c r="E294" t="inlineStr">
        <is>
          <t>MARKARYD</t>
        </is>
      </c>
      <c r="G294" t="n">
        <v>3.7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17387-2023</t>
        </is>
      </c>
      <c r="B295" s="1" t="n">
        <v>45035</v>
      </c>
      <c r="C295" s="1" t="n">
        <v>45472</v>
      </c>
      <c r="D295" t="inlineStr">
        <is>
          <t>KRONOBERGS LÄN</t>
        </is>
      </c>
      <c r="E295" t="inlineStr">
        <is>
          <t>MARKARYD</t>
        </is>
      </c>
      <c r="G295" t="n">
        <v>2.5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17454-2023</t>
        </is>
      </c>
      <c r="B296" s="1" t="n">
        <v>45036</v>
      </c>
      <c r="C296" s="1" t="n">
        <v>45472</v>
      </c>
      <c r="D296" t="inlineStr">
        <is>
          <t>KRONOBERGS LÄN</t>
        </is>
      </c>
      <c r="E296" t="inlineStr">
        <is>
          <t>MARKARYD</t>
        </is>
      </c>
      <c r="G296" t="n">
        <v>1.3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17513-2023</t>
        </is>
      </c>
      <c r="B297" s="1" t="n">
        <v>45036</v>
      </c>
      <c r="C297" s="1" t="n">
        <v>45472</v>
      </c>
      <c r="D297" t="inlineStr">
        <is>
          <t>KRONOBERGS LÄN</t>
        </is>
      </c>
      <c r="E297" t="inlineStr">
        <is>
          <t>MARKARYD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17927-2023</t>
        </is>
      </c>
      <c r="B298" s="1" t="n">
        <v>45040</v>
      </c>
      <c r="C298" s="1" t="n">
        <v>45472</v>
      </c>
      <c r="D298" t="inlineStr">
        <is>
          <t>KRONOBERGS LÄN</t>
        </is>
      </c>
      <c r="E298" t="inlineStr">
        <is>
          <t>MARKARYD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18512-2023</t>
        </is>
      </c>
      <c r="B299" s="1" t="n">
        <v>45042</v>
      </c>
      <c r="C299" s="1" t="n">
        <v>45472</v>
      </c>
      <c r="D299" t="inlineStr">
        <is>
          <t>KRONOBERGS LÄN</t>
        </is>
      </c>
      <c r="E299" t="inlineStr">
        <is>
          <t>MARKARYD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20001-2023</t>
        </is>
      </c>
      <c r="B300" s="1" t="n">
        <v>45054</v>
      </c>
      <c r="C300" s="1" t="n">
        <v>45472</v>
      </c>
      <c r="D300" t="inlineStr">
        <is>
          <t>KRONOBERGS LÄN</t>
        </is>
      </c>
      <c r="E300" t="inlineStr">
        <is>
          <t>MARKARYD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19999-2023</t>
        </is>
      </c>
      <c r="B301" s="1" t="n">
        <v>45054</v>
      </c>
      <c r="C301" s="1" t="n">
        <v>45472</v>
      </c>
      <c r="D301" t="inlineStr">
        <is>
          <t>KRONOBERGS LÄN</t>
        </is>
      </c>
      <c r="E301" t="inlineStr">
        <is>
          <t>MARKARYD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21658-2023</t>
        </is>
      </c>
      <c r="B302" s="1" t="n">
        <v>45063</v>
      </c>
      <c r="C302" s="1" t="n">
        <v>45472</v>
      </c>
      <c r="D302" t="inlineStr">
        <is>
          <t>KRONOBERGS LÄN</t>
        </is>
      </c>
      <c r="E302" t="inlineStr">
        <is>
          <t>MARKARYD</t>
        </is>
      </c>
      <c r="G302" t="n">
        <v>12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22154-2023</t>
        </is>
      </c>
      <c r="B303" s="1" t="n">
        <v>45069</v>
      </c>
      <c r="C303" s="1" t="n">
        <v>45472</v>
      </c>
      <c r="D303" t="inlineStr">
        <is>
          <t>KRONOBERGS LÄN</t>
        </is>
      </c>
      <c r="E303" t="inlineStr">
        <is>
          <t>MARKARYD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22156-2023</t>
        </is>
      </c>
      <c r="B304" s="1" t="n">
        <v>45069</v>
      </c>
      <c r="C304" s="1" t="n">
        <v>45472</v>
      </c>
      <c r="D304" t="inlineStr">
        <is>
          <t>KRONOBERGS LÄN</t>
        </is>
      </c>
      <c r="E304" t="inlineStr">
        <is>
          <t>MARKARYD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23148-2023</t>
        </is>
      </c>
      <c r="B305" s="1" t="n">
        <v>45075</v>
      </c>
      <c r="C305" s="1" t="n">
        <v>45472</v>
      </c>
      <c r="D305" t="inlineStr">
        <is>
          <t>KRONOBERGS LÄN</t>
        </is>
      </c>
      <c r="E305" t="inlineStr">
        <is>
          <t>MARKARYD</t>
        </is>
      </c>
      <c r="F305" t="inlineStr">
        <is>
          <t>Övriga Aktiebolag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23111-2023</t>
        </is>
      </c>
      <c r="B306" s="1" t="n">
        <v>45075</v>
      </c>
      <c r="C306" s="1" t="n">
        <v>45472</v>
      </c>
      <c r="D306" t="inlineStr">
        <is>
          <t>KRONOBERGS LÄN</t>
        </is>
      </c>
      <c r="E306" t="inlineStr">
        <is>
          <t>MARKARYD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23543-2023</t>
        </is>
      </c>
      <c r="B307" s="1" t="n">
        <v>45077</v>
      </c>
      <c r="C307" s="1" t="n">
        <v>45472</v>
      </c>
      <c r="D307" t="inlineStr">
        <is>
          <t>KRONOBERGS LÄN</t>
        </is>
      </c>
      <c r="E307" t="inlineStr">
        <is>
          <t>MARKARYD</t>
        </is>
      </c>
      <c r="G307" t="n">
        <v>3.6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24287-2023</t>
        </is>
      </c>
      <c r="B308" s="1" t="n">
        <v>45079</v>
      </c>
      <c r="C308" s="1" t="n">
        <v>45472</v>
      </c>
      <c r="D308" t="inlineStr">
        <is>
          <t>KRONOBERGS LÄN</t>
        </is>
      </c>
      <c r="E308" t="inlineStr">
        <is>
          <t>MARKARYD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24322-2023</t>
        </is>
      </c>
      <c r="B309" s="1" t="n">
        <v>45080</v>
      </c>
      <c r="C309" s="1" t="n">
        <v>45472</v>
      </c>
      <c r="D309" t="inlineStr">
        <is>
          <t>KRONOBERGS LÄN</t>
        </is>
      </c>
      <c r="E309" t="inlineStr">
        <is>
          <t>MARKARYD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24321-2023</t>
        </is>
      </c>
      <c r="B310" s="1" t="n">
        <v>45080</v>
      </c>
      <c r="C310" s="1" t="n">
        <v>45472</v>
      </c>
      <c r="D310" t="inlineStr">
        <is>
          <t>KRONOBERGS LÄN</t>
        </is>
      </c>
      <c r="E310" t="inlineStr">
        <is>
          <t>MARKARYD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24323-2023</t>
        </is>
      </c>
      <c r="B311" s="1" t="n">
        <v>45080</v>
      </c>
      <c r="C311" s="1" t="n">
        <v>45472</v>
      </c>
      <c r="D311" t="inlineStr">
        <is>
          <t>KRONOBERGS LÄN</t>
        </is>
      </c>
      <c r="E311" t="inlineStr">
        <is>
          <t>MARKARYD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25011-2023</t>
        </is>
      </c>
      <c r="B312" s="1" t="n">
        <v>45085</v>
      </c>
      <c r="C312" s="1" t="n">
        <v>45472</v>
      </c>
      <c r="D312" t="inlineStr">
        <is>
          <t>KRONOBERGS LÄN</t>
        </is>
      </c>
      <c r="E312" t="inlineStr">
        <is>
          <t>MARKARYD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25016-2023</t>
        </is>
      </c>
      <c r="B313" s="1" t="n">
        <v>45085</v>
      </c>
      <c r="C313" s="1" t="n">
        <v>45472</v>
      </c>
      <c r="D313" t="inlineStr">
        <is>
          <t>KRONOBERGS LÄN</t>
        </is>
      </c>
      <c r="E313" t="inlineStr">
        <is>
          <t>MARKARYD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25621-2023</t>
        </is>
      </c>
      <c r="B314" s="1" t="n">
        <v>45089</v>
      </c>
      <c r="C314" s="1" t="n">
        <v>45472</v>
      </c>
      <c r="D314" t="inlineStr">
        <is>
          <t>KRONOBERGS LÄN</t>
        </is>
      </c>
      <c r="E314" t="inlineStr">
        <is>
          <t>MARKARYD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25957-2023</t>
        </is>
      </c>
      <c r="B315" s="1" t="n">
        <v>45090</v>
      </c>
      <c r="C315" s="1" t="n">
        <v>45472</v>
      </c>
      <c r="D315" t="inlineStr">
        <is>
          <t>KRONOBERGS LÄN</t>
        </is>
      </c>
      <c r="E315" t="inlineStr">
        <is>
          <t>MARKARYD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26547-2023</t>
        </is>
      </c>
      <c r="B316" s="1" t="n">
        <v>45092</v>
      </c>
      <c r="C316" s="1" t="n">
        <v>45472</v>
      </c>
      <c r="D316" t="inlineStr">
        <is>
          <t>KRONOBERGS LÄN</t>
        </is>
      </c>
      <c r="E316" t="inlineStr">
        <is>
          <t>MARKARYD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26549-2023</t>
        </is>
      </c>
      <c r="B317" s="1" t="n">
        <v>45092</v>
      </c>
      <c r="C317" s="1" t="n">
        <v>45472</v>
      </c>
      <c r="D317" t="inlineStr">
        <is>
          <t>KRONOBERGS LÄN</t>
        </is>
      </c>
      <c r="E317" t="inlineStr">
        <is>
          <t>MARKARYD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27554-2023</t>
        </is>
      </c>
      <c r="B318" s="1" t="n">
        <v>45097</v>
      </c>
      <c r="C318" s="1" t="n">
        <v>45472</v>
      </c>
      <c r="D318" t="inlineStr">
        <is>
          <t>KRONOBERGS LÄN</t>
        </is>
      </c>
      <c r="E318" t="inlineStr">
        <is>
          <t>MARKARYD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32024-2023</t>
        </is>
      </c>
      <c r="B319" s="1" t="n">
        <v>45107</v>
      </c>
      <c r="C319" s="1" t="n">
        <v>45472</v>
      </c>
      <c r="D319" t="inlineStr">
        <is>
          <t>KRONOBERGS LÄN</t>
        </is>
      </c>
      <c r="E319" t="inlineStr">
        <is>
          <t>MARKARYD</t>
        </is>
      </c>
      <c r="F319" t="inlineStr">
        <is>
          <t>Kyrkan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32026-2023</t>
        </is>
      </c>
      <c r="B320" s="1" t="n">
        <v>45107</v>
      </c>
      <c r="C320" s="1" t="n">
        <v>45472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3.9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30748-2023</t>
        </is>
      </c>
      <c r="B321" s="1" t="n">
        <v>45112</v>
      </c>
      <c r="C321" s="1" t="n">
        <v>45472</v>
      </c>
      <c r="D321" t="inlineStr">
        <is>
          <t>KRONOBERGS LÄN</t>
        </is>
      </c>
      <c r="E321" t="inlineStr">
        <is>
          <t>MARKARYD</t>
        </is>
      </c>
      <c r="G321" t="n">
        <v>5.2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31603-2023</t>
        </is>
      </c>
      <c r="B322" s="1" t="n">
        <v>45117</v>
      </c>
      <c r="C322" s="1" t="n">
        <v>45472</v>
      </c>
      <c r="D322" t="inlineStr">
        <is>
          <t>KRONOBERGS LÄN</t>
        </is>
      </c>
      <c r="E322" t="inlineStr">
        <is>
          <t>MARKARYD</t>
        </is>
      </c>
      <c r="F322" t="inlineStr">
        <is>
          <t>Naturvårdsverket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31783-2023</t>
        </is>
      </c>
      <c r="B323" s="1" t="n">
        <v>45118</v>
      </c>
      <c r="C323" s="1" t="n">
        <v>45472</v>
      </c>
      <c r="D323" t="inlineStr">
        <is>
          <t>KRONOBERGS LÄN</t>
        </is>
      </c>
      <c r="E323" t="inlineStr">
        <is>
          <t>MARKARYD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31952-2023</t>
        </is>
      </c>
      <c r="B324" s="1" t="n">
        <v>45119</v>
      </c>
      <c r="C324" s="1" t="n">
        <v>45472</v>
      </c>
      <c r="D324" t="inlineStr">
        <is>
          <t>KRONOBERGS LÄN</t>
        </is>
      </c>
      <c r="E324" t="inlineStr">
        <is>
          <t>MARKARYD</t>
        </is>
      </c>
      <c r="G324" t="n">
        <v>1.7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32536-2023</t>
        </is>
      </c>
      <c r="B325" s="1" t="n">
        <v>45121</v>
      </c>
      <c r="C325" s="1" t="n">
        <v>45472</v>
      </c>
      <c r="D325" t="inlineStr">
        <is>
          <t>KRONOBERGS LÄN</t>
        </is>
      </c>
      <c r="E325" t="inlineStr">
        <is>
          <t>MARKARYD</t>
        </is>
      </c>
      <c r="G325" t="n">
        <v>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33281-2023</t>
        </is>
      </c>
      <c r="B326" s="1" t="n">
        <v>45127</v>
      </c>
      <c r="C326" s="1" t="n">
        <v>45472</v>
      </c>
      <c r="D326" t="inlineStr">
        <is>
          <t>KRONOBERGS LÄN</t>
        </is>
      </c>
      <c r="E326" t="inlineStr">
        <is>
          <t>MARKARYD</t>
        </is>
      </c>
      <c r="G326" t="n">
        <v>4.3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33278-2023</t>
        </is>
      </c>
      <c r="B327" s="1" t="n">
        <v>45127</v>
      </c>
      <c r="C327" s="1" t="n">
        <v>45472</v>
      </c>
      <c r="D327" t="inlineStr">
        <is>
          <t>KRONOBERGS LÄN</t>
        </is>
      </c>
      <c r="E327" t="inlineStr">
        <is>
          <t>MARKARYD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33780-2023</t>
        </is>
      </c>
      <c r="B328" s="1" t="n">
        <v>45133</v>
      </c>
      <c r="C328" s="1" t="n">
        <v>45472</v>
      </c>
      <c r="D328" t="inlineStr">
        <is>
          <t>KRONOBERGS LÄN</t>
        </is>
      </c>
      <c r="E328" t="inlineStr">
        <is>
          <t>MARKARYD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34818-2023</t>
        </is>
      </c>
      <c r="B329" s="1" t="n">
        <v>45141</v>
      </c>
      <c r="C329" s="1" t="n">
        <v>45472</v>
      </c>
      <c r="D329" t="inlineStr">
        <is>
          <t>KRONOBERGS LÄN</t>
        </is>
      </c>
      <c r="E329" t="inlineStr">
        <is>
          <t>MARKARYD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34919-2023</t>
        </is>
      </c>
      <c r="B330" s="1" t="n">
        <v>45141</v>
      </c>
      <c r="C330" s="1" t="n">
        <v>45472</v>
      </c>
      <c r="D330" t="inlineStr">
        <is>
          <t>KRONOBERGS LÄN</t>
        </is>
      </c>
      <c r="E330" t="inlineStr">
        <is>
          <t>MARKARYD</t>
        </is>
      </c>
      <c r="F330" t="inlineStr">
        <is>
          <t>Kyrkan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34906-2023</t>
        </is>
      </c>
      <c r="B331" s="1" t="n">
        <v>45141</v>
      </c>
      <c r="C331" s="1" t="n">
        <v>45472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8.1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34912-2023</t>
        </is>
      </c>
      <c r="B332" s="1" t="n">
        <v>45141</v>
      </c>
      <c r="C332" s="1" t="n">
        <v>45472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3.7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34921-2023</t>
        </is>
      </c>
      <c r="B333" s="1" t="n">
        <v>45141</v>
      </c>
      <c r="C333" s="1" t="n">
        <v>45472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7.5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37192-2023</t>
        </is>
      </c>
      <c r="B334" s="1" t="n">
        <v>45155</v>
      </c>
      <c r="C334" s="1" t="n">
        <v>45472</v>
      </c>
      <c r="D334" t="inlineStr">
        <is>
          <t>KRONOBERGS LÄN</t>
        </is>
      </c>
      <c r="E334" t="inlineStr">
        <is>
          <t>MARKARYD</t>
        </is>
      </c>
      <c r="G334" t="n">
        <v>2.9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37929-2023</t>
        </is>
      </c>
      <c r="B335" s="1" t="n">
        <v>45160</v>
      </c>
      <c r="C335" s="1" t="n">
        <v>45472</v>
      </c>
      <c r="D335" t="inlineStr">
        <is>
          <t>KRONOBERGS LÄN</t>
        </is>
      </c>
      <c r="E335" t="inlineStr">
        <is>
          <t>MARKARYD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37884-2023</t>
        </is>
      </c>
      <c r="B336" s="1" t="n">
        <v>45160</v>
      </c>
      <c r="C336" s="1" t="n">
        <v>45472</v>
      </c>
      <c r="D336" t="inlineStr">
        <is>
          <t>KRONOBERGS LÄN</t>
        </is>
      </c>
      <c r="E336" t="inlineStr">
        <is>
          <t>MARKARYD</t>
        </is>
      </c>
      <c r="G336" t="n">
        <v>13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38330-2023</t>
        </is>
      </c>
      <c r="B337" s="1" t="n">
        <v>45161</v>
      </c>
      <c r="C337" s="1" t="n">
        <v>45472</v>
      </c>
      <c r="D337" t="inlineStr">
        <is>
          <t>KRONOBERGS LÄN</t>
        </is>
      </c>
      <c r="E337" t="inlineStr">
        <is>
          <t>MARKARYD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38188-2023</t>
        </is>
      </c>
      <c r="B338" s="1" t="n">
        <v>45161</v>
      </c>
      <c r="C338" s="1" t="n">
        <v>45472</v>
      </c>
      <c r="D338" t="inlineStr">
        <is>
          <t>KRONOBERGS LÄN</t>
        </is>
      </c>
      <c r="E338" t="inlineStr">
        <is>
          <t>MARKARYD</t>
        </is>
      </c>
      <c r="G338" t="n">
        <v>6.1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38192-2023</t>
        </is>
      </c>
      <c r="B339" s="1" t="n">
        <v>45161</v>
      </c>
      <c r="C339" s="1" t="n">
        <v>45472</v>
      </c>
      <c r="D339" t="inlineStr">
        <is>
          <t>KRONOBERGS LÄN</t>
        </is>
      </c>
      <c r="E339" t="inlineStr">
        <is>
          <t>MARKARYD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39151-2023</t>
        </is>
      </c>
      <c r="B340" s="1" t="n">
        <v>45166</v>
      </c>
      <c r="C340" s="1" t="n">
        <v>45472</v>
      </c>
      <c r="D340" t="inlineStr">
        <is>
          <t>KRONOBERGS LÄN</t>
        </is>
      </c>
      <c r="E340" t="inlineStr">
        <is>
          <t>MARKARYD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39159-2023</t>
        </is>
      </c>
      <c r="B341" s="1" t="n">
        <v>45166</v>
      </c>
      <c r="C341" s="1" t="n">
        <v>45472</v>
      </c>
      <c r="D341" t="inlineStr">
        <is>
          <t>KRONOBERGS LÄN</t>
        </is>
      </c>
      <c r="E341" t="inlineStr">
        <is>
          <t>MARKARYD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40516-2023</t>
        </is>
      </c>
      <c r="B342" s="1" t="n">
        <v>45170</v>
      </c>
      <c r="C342" s="1" t="n">
        <v>45472</v>
      </c>
      <c r="D342" t="inlineStr">
        <is>
          <t>KRONOBERGS LÄN</t>
        </is>
      </c>
      <c r="E342" t="inlineStr">
        <is>
          <t>MARKARYD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40520-2023</t>
        </is>
      </c>
      <c r="B343" s="1" t="n">
        <v>45170</v>
      </c>
      <c r="C343" s="1" t="n">
        <v>45472</v>
      </c>
      <c r="D343" t="inlineStr">
        <is>
          <t>KRONOBERGS LÄN</t>
        </is>
      </c>
      <c r="E343" t="inlineStr">
        <is>
          <t>MARKARYD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40510-2023</t>
        </is>
      </c>
      <c r="B344" s="1" t="n">
        <v>45170</v>
      </c>
      <c r="C344" s="1" t="n">
        <v>45472</v>
      </c>
      <c r="D344" t="inlineStr">
        <is>
          <t>KRONOBERGS LÄN</t>
        </is>
      </c>
      <c r="E344" t="inlineStr">
        <is>
          <t>MARKARYD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40514-2023</t>
        </is>
      </c>
      <c r="B345" s="1" t="n">
        <v>45170</v>
      </c>
      <c r="C345" s="1" t="n">
        <v>45472</v>
      </c>
      <c r="D345" t="inlineStr">
        <is>
          <t>KRONOBERGS LÄN</t>
        </is>
      </c>
      <c r="E345" t="inlineStr">
        <is>
          <t>MARKARYD</t>
        </is>
      </c>
      <c r="G345" t="n">
        <v>0.6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40850-2023</t>
        </is>
      </c>
      <c r="B346" s="1" t="n">
        <v>45173</v>
      </c>
      <c r="C346" s="1" t="n">
        <v>45472</v>
      </c>
      <c r="D346" t="inlineStr">
        <is>
          <t>KRONOBERGS LÄN</t>
        </is>
      </c>
      <c r="E346" t="inlineStr">
        <is>
          <t>MARKARYD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40849-2023</t>
        </is>
      </c>
      <c r="B347" s="1" t="n">
        <v>45173</v>
      </c>
      <c r="C347" s="1" t="n">
        <v>45472</v>
      </c>
      <c r="D347" t="inlineStr">
        <is>
          <t>KRONOBERGS LÄN</t>
        </is>
      </c>
      <c r="E347" t="inlineStr">
        <is>
          <t>MARKARYD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40976-2023</t>
        </is>
      </c>
      <c r="B348" s="1" t="n">
        <v>45173</v>
      </c>
      <c r="C348" s="1" t="n">
        <v>45472</v>
      </c>
      <c r="D348" t="inlineStr">
        <is>
          <t>KRONOBERGS LÄN</t>
        </is>
      </c>
      <c r="E348" t="inlineStr">
        <is>
          <t>MARKARYD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40852-2023</t>
        </is>
      </c>
      <c r="B349" s="1" t="n">
        <v>45173</v>
      </c>
      <c r="C349" s="1" t="n">
        <v>45472</v>
      </c>
      <c r="D349" t="inlineStr">
        <is>
          <t>KRONOBERGS LÄN</t>
        </is>
      </c>
      <c r="E349" t="inlineStr">
        <is>
          <t>MARKARYD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41837-2023</t>
        </is>
      </c>
      <c r="B350" s="1" t="n">
        <v>45176</v>
      </c>
      <c r="C350" s="1" t="n">
        <v>45472</v>
      </c>
      <c r="D350" t="inlineStr">
        <is>
          <t>KRONOBERGS LÄN</t>
        </is>
      </c>
      <c r="E350" t="inlineStr">
        <is>
          <t>MARKARYD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42536-2023</t>
        </is>
      </c>
      <c r="B351" s="1" t="n">
        <v>45181</v>
      </c>
      <c r="C351" s="1" t="n">
        <v>45472</v>
      </c>
      <c r="D351" t="inlineStr">
        <is>
          <t>KRONOBERGS LÄN</t>
        </is>
      </c>
      <c r="E351" t="inlineStr">
        <is>
          <t>MARKARYD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42693-2023</t>
        </is>
      </c>
      <c r="B352" s="1" t="n">
        <v>45181</v>
      </c>
      <c r="C352" s="1" t="n">
        <v>45472</v>
      </c>
      <c r="D352" t="inlineStr">
        <is>
          <t>KRONOBERGS LÄN</t>
        </is>
      </c>
      <c r="E352" t="inlineStr">
        <is>
          <t>MARKARYD</t>
        </is>
      </c>
      <c r="F352" t="inlineStr">
        <is>
          <t>Sveaskog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42692-2023</t>
        </is>
      </c>
      <c r="B353" s="1" t="n">
        <v>45181</v>
      </c>
      <c r="C353" s="1" t="n">
        <v>45472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42671-2023</t>
        </is>
      </c>
      <c r="B354" s="1" t="n">
        <v>45181</v>
      </c>
      <c r="C354" s="1" t="n">
        <v>45472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42690-2023</t>
        </is>
      </c>
      <c r="B355" s="1" t="n">
        <v>45181</v>
      </c>
      <c r="C355" s="1" t="n">
        <v>45472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43017-2023</t>
        </is>
      </c>
      <c r="B356" s="1" t="n">
        <v>45182</v>
      </c>
      <c r="C356" s="1" t="n">
        <v>45472</v>
      </c>
      <c r="D356" t="inlineStr">
        <is>
          <t>KRONOBERGS LÄN</t>
        </is>
      </c>
      <c r="E356" t="inlineStr">
        <is>
          <t>MARKARYD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42796-2023</t>
        </is>
      </c>
      <c r="B357" s="1" t="n">
        <v>45182</v>
      </c>
      <c r="C357" s="1" t="n">
        <v>45472</v>
      </c>
      <c r="D357" t="inlineStr">
        <is>
          <t>KRONOBERGS LÄN</t>
        </is>
      </c>
      <c r="E357" t="inlineStr">
        <is>
          <t>MARKARYD</t>
        </is>
      </c>
      <c r="F357" t="inlineStr">
        <is>
          <t>Sveaskog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45275-2023</t>
        </is>
      </c>
      <c r="B358" s="1" t="n">
        <v>45191</v>
      </c>
      <c r="C358" s="1" t="n">
        <v>45472</v>
      </c>
      <c r="D358" t="inlineStr">
        <is>
          <t>KRONOBERGS LÄN</t>
        </is>
      </c>
      <c r="E358" t="inlineStr">
        <is>
          <t>MARKARYD</t>
        </is>
      </c>
      <c r="G358" t="n">
        <v>2.5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45281-2023</t>
        </is>
      </c>
      <c r="B359" s="1" t="n">
        <v>45191</v>
      </c>
      <c r="C359" s="1" t="n">
        <v>45472</v>
      </c>
      <c r="D359" t="inlineStr">
        <is>
          <t>KRONOBERGS LÄN</t>
        </is>
      </c>
      <c r="E359" t="inlineStr">
        <is>
          <t>MARKARYD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45288-2023</t>
        </is>
      </c>
      <c r="B360" s="1" t="n">
        <v>45191</v>
      </c>
      <c r="C360" s="1" t="n">
        <v>45472</v>
      </c>
      <c r="D360" t="inlineStr">
        <is>
          <t>KRONOBERGS LÄN</t>
        </is>
      </c>
      <c r="E360" t="inlineStr">
        <is>
          <t>MARKARYD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45854-2023</t>
        </is>
      </c>
      <c r="B361" s="1" t="n">
        <v>45195</v>
      </c>
      <c r="C361" s="1" t="n">
        <v>45472</v>
      </c>
      <c r="D361" t="inlineStr">
        <is>
          <t>KRONOBERGS LÄN</t>
        </is>
      </c>
      <c r="E361" t="inlineStr">
        <is>
          <t>MARKARYD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45848-2023</t>
        </is>
      </c>
      <c r="B362" s="1" t="n">
        <v>45195</v>
      </c>
      <c r="C362" s="1" t="n">
        <v>45472</v>
      </c>
      <c r="D362" t="inlineStr">
        <is>
          <t>KRONOBERGS LÄN</t>
        </is>
      </c>
      <c r="E362" t="inlineStr">
        <is>
          <t>MARKARYD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45856-2023</t>
        </is>
      </c>
      <c r="B363" s="1" t="n">
        <v>45195</v>
      </c>
      <c r="C363" s="1" t="n">
        <v>45472</v>
      </c>
      <c r="D363" t="inlineStr">
        <is>
          <t>KRONOBERGS LÄN</t>
        </is>
      </c>
      <c r="E363" t="inlineStr">
        <is>
          <t>MARKARYD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46122-2023</t>
        </is>
      </c>
      <c r="B364" s="1" t="n">
        <v>45196</v>
      </c>
      <c r="C364" s="1" t="n">
        <v>45472</v>
      </c>
      <c r="D364" t="inlineStr">
        <is>
          <t>KRONOBERGS LÄN</t>
        </is>
      </c>
      <c r="E364" t="inlineStr">
        <is>
          <t>MARKARYD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46110-2023</t>
        </is>
      </c>
      <c r="B365" s="1" t="n">
        <v>45196</v>
      </c>
      <c r="C365" s="1" t="n">
        <v>45472</v>
      </c>
      <c r="D365" t="inlineStr">
        <is>
          <t>KRONOBERGS LÄN</t>
        </is>
      </c>
      <c r="E365" t="inlineStr">
        <is>
          <t>MARKARYD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46139-2023</t>
        </is>
      </c>
      <c r="B366" s="1" t="n">
        <v>45196</v>
      </c>
      <c r="C366" s="1" t="n">
        <v>45472</v>
      </c>
      <c r="D366" t="inlineStr">
        <is>
          <t>KRONOBERGS LÄN</t>
        </is>
      </c>
      <c r="E366" t="inlineStr">
        <is>
          <t>MARKARYD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47680-2023</t>
        </is>
      </c>
      <c r="B367" s="1" t="n">
        <v>45203</v>
      </c>
      <c r="C367" s="1" t="n">
        <v>45472</v>
      </c>
      <c r="D367" t="inlineStr">
        <is>
          <t>KRONOBERGS LÄN</t>
        </is>
      </c>
      <c r="E367" t="inlineStr">
        <is>
          <t>MARKARYD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47775-2023</t>
        </is>
      </c>
      <c r="B368" s="1" t="n">
        <v>45203</v>
      </c>
      <c r="C368" s="1" t="n">
        <v>45472</v>
      </c>
      <c r="D368" t="inlineStr">
        <is>
          <t>KRONOBERGS LÄN</t>
        </is>
      </c>
      <c r="E368" t="inlineStr">
        <is>
          <t>MARKARYD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47890-2023</t>
        </is>
      </c>
      <c r="B369" s="1" t="n">
        <v>45204</v>
      </c>
      <c r="C369" s="1" t="n">
        <v>45472</v>
      </c>
      <c r="D369" t="inlineStr">
        <is>
          <t>KRONOBERGS LÄN</t>
        </is>
      </c>
      <c r="E369" t="inlineStr">
        <is>
          <t>MARKARYD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48210-2023</t>
        </is>
      </c>
      <c r="B370" s="1" t="n">
        <v>45205</v>
      </c>
      <c r="C370" s="1" t="n">
        <v>45472</v>
      </c>
      <c r="D370" t="inlineStr">
        <is>
          <t>KRONOBERGS LÄN</t>
        </is>
      </c>
      <c r="E370" t="inlineStr">
        <is>
          <t>MARKARYD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48832-2023</t>
        </is>
      </c>
      <c r="B371" s="1" t="n">
        <v>45209</v>
      </c>
      <c r="C371" s="1" t="n">
        <v>45472</v>
      </c>
      <c r="D371" t="inlineStr">
        <is>
          <t>KRONOBERGS LÄN</t>
        </is>
      </c>
      <c r="E371" t="inlineStr">
        <is>
          <t>MARKARYD</t>
        </is>
      </c>
      <c r="G371" t="n">
        <v>2.8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48828-2023</t>
        </is>
      </c>
      <c r="B372" s="1" t="n">
        <v>45209</v>
      </c>
      <c r="C372" s="1" t="n">
        <v>45472</v>
      </c>
      <c r="D372" t="inlineStr">
        <is>
          <t>KRONOBERGS LÄN</t>
        </is>
      </c>
      <c r="E372" t="inlineStr">
        <is>
          <t>MARKARYD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49274-2023</t>
        </is>
      </c>
      <c r="B373" s="1" t="n">
        <v>45210</v>
      </c>
      <c r="C373" s="1" t="n">
        <v>45472</v>
      </c>
      <c r="D373" t="inlineStr">
        <is>
          <t>KRONOBERGS LÄN</t>
        </is>
      </c>
      <c r="E373" t="inlineStr">
        <is>
          <t>MARKARYD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49695-2023</t>
        </is>
      </c>
      <c r="B374" s="1" t="n">
        <v>45212</v>
      </c>
      <c r="C374" s="1" t="n">
        <v>45472</v>
      </c>
      <c r="D374" t="inlineStr">
        <is>
          <t>KRONOBERGS LÄN</t>
        </is>
      </c>
      <c r="E374" t="inlineStr">
        <is>
          <t>MARKARYD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50297-2023</t>
        </is>
      </c>
      <c r="B375" s="1" t="n">
        <v>45216</v>
      </c>
      <c r="C375" s="1" t="n">
        <v>45472</v>
      </c>
      <c r="D375" t="inlineStr">
        <is>
          <t>KRONOBERGS LÄN</t>
        </is>
      </c>
      <c r="E375" t="inlineStr">
        <is>
          <t>MARKARYD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50613-2023</t>
        </is>
      </c>
      <c r="B376" s="1" t="n">
        <v>45217</v>
      </c>
      <c r="C376" s="1" t="n">
        <v>45472</v>
      </c>
      <c r="D376" t="inlineStr">
        <is>
          <t>KRONOBERGS LÄN</t>
        </is>
      </c>
      <c r="E376" t="inlineStr">
        <is>
          <t>MARKARYD</t>
        </is>
      </c>
      <c r="G376" t="n">
        <v>6.9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50916-2023</t>
        </is>
      </c>
      <c r="B377" s="1" t="n">
        <v>45218</v>
      </c>
      <c r="C377" s="1" t="n">
        <v>45472</v>
      </c>
      <c r="D377" t="inlineStr">
        <is>
          <t>KRONOBERGS LÄN</t>
        </is>
      </c>
      <c r="E377" t="inlineStr">
        <is>
          <t>MARKARYD</t>
        </is>
      </c>
      <c r="G377" t="n">
        <v>5.4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50919-2023</t>
        </is>
      </c>
      <c r="B378" s="1" t="n">
        <v>45218</v>
      </c>
      <c r="C378" s="1" t="n">
        <v>45472</v>
      </c>
      <c r="D378" t="inlineStr">
        <is>
          <t>KRONOBERGS LÄN</t>
        </is>
      </c>
      <c r="E378" t="inlineStr">
        <is>
          <t>MARKARYD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50921-2023</t>
        </is>
      </c>
      <c r="B379" s="1" t="n">
        <v>45218</v>
      </c>
      <c r="C379" s="1" t="n">
        <v>45472</v>
      </c>
      <c r="D379" t="inlineStr">
        <is>
          <t>KRONOBERGS LÄN</t>
        </is>
      </c>
      <c r="E379" t="inlineStr">
        <is>
          <t>MARKARYD</t>
        </is>
      </c>
      <c r="G379" t="n">
        <v>2.1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50927-2023</t>
        </is>
      </c>
      <c r="B380" s="1" t="n">
        <v>45218</v>
      </c>
      <c r="C380" s="1" t="n">
        <v>45472</v>
      </c>
      <c r="D380" t="inlineStr">
        <is>
          <t>KRONOBERGS LÄN</t>
        </is>
      </c>
      <c r="E380" t="inlineStr">
        <is>
          <t>MARKARYD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50942-2023</t>
        </is>
      </c>
      <c r="B381" s="1" t="n">
        <v>45218</v>
      </c>
      <c r="C381" s="1" t="n">
        <v>45472</v>
      </c>
      <c r="D381" t="inlineStr">
        <is>
          <t>KRONOBERGS LÄN</t>
        </is>
      </c>
      <c r="E381" t="inlineStr">
        <is>
          <t>MARKARYD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51182-2023</t>
        </is>
      </c>
      <c r="B382" s="1" t="n">
        <v>45219</v>
      </c>
      <c r="C382" s="1" t="n">
        <v>45472</v>
      </c>
      <c r="D382" t="inlineStr">
        <is>
          <t>KRONOBERGS LÄN</t>
        </is>
      </c>
      <c r="E382" t="inlineStr">
        <is>
          <t>MARKARYD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51202-2023</t>
        </is>
      </c>
      <c r="B383" s="1" t="n">
        <v>45219</v>
      </c>
      <c r="C383" s="1" t="n">
        <v>45472</v>
      </c>
      <c r="D383" t="inlineStr">
        <is>
          <t>KRONOBERGS LÄN</t>
        </is>
      </c>
      <c r="E383" t="inlineStr">
        <is>
          <t>MARKARYD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51240-2023</t>
        </is>
      </c>
      <c r="B384" s="1" t="n">
        <v>45219</v>
      </c>
      <c r="C384" s="1" t="n">
        <v>45472</v>
      </c>
      <c r="D384" t="inlineStr">
        <is>
          <t>KRONOBERGS LÄN</t>
        </is>
      </c>
      <c r="E384" t="inlineStr">
        <is>
          <t>MARKARYD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51179-2023</t>
        </is>
      </c>
      <c r="B385" s="1" t="n">
        <v>45219</v>
      </c>
      <c r="C385" s="1" t="n">
        <v>45472</v>
      </c>
      <c r="D385" t="inlineStr">
        <is>
          <t>KRONOBERGS LÄN</t>
        </is>
      </c>
      <c r="E385" t="inlineStr">
        <is>
          <t>MARKARYD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51918-2023</t>
        </is>
      </c>
      <c r="B386" s="1" t="n">
        <v>45223</v>
      </c>
      <c r="C386" s="1" t="n">
        <v>45472</v>
      </c>
      <c r="D386" t="inlineStr">
        <is>
          <t>KRONOBERGS LÄN</t>
        </is>
      </c>
      <c r="E386" t="inlineStr">
        <is>
          <t>MARKARYD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52636-2023</t>
        </is>
      </c>
      <c r="B387" s="1" t="n">
        <v>45225</v>
      </c>
      <c r="C387" s="1" t="n">
        <v>45472</v>
      </c>
      <c r="D387" t="inlineStr">
        <is>
          <t>KRONOBERGS LÄN</t>
        </is>
      </c>
      <c r="E387" t="inlineStr">
        <is>
          <t>MARKARYD</t>
        </is>
      </c>
      <c r="G387" t="n">
        <v>1.4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53742-2023</t>
        </is>
      </c>
      <c r="B388" s="1" t="n">
        <v>45230</v>
      </c>
      <c r="C388" s="1" t="n">
        <v>45472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53505-2023</t>
        </is>
      </c>
      <c r="B389" s="1" t="n">
        <v>45230</v>
      </c>
      <c r="C389" s="1" t="n">
        <v>45472</v>
      </c>
      <c r="D389" t="inlineStr">
        <is>
          <t>KRONOBERGS LÄN</t>
        </is>
      </c>
      <c r="E389" t="inlineStr">
        <is>
          <t>MARKARYD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53487-2023</t>
        </is>
      </c>
      <c r="B390" s="1" t="n">
        <v>45230</v>
      </c>
      <c r="C390" s="1" t="n">
        <v>45472</v>
      </c>
      <c r="D390" t="inlineStr">
        <is>
          <t>KRONOBERGS LÄN</t>
        </is>
      </c>
      <c r="E390" t="inlineStr">
        <is>
          <t>MARKARYD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54196-2023</t>
        </is>
      </c>
      <c r="B391" s="1" t="n">
        <v>45232</v>
      </c>
      <c r="C391" s="1" t="n">
        <v>45472</v>
      </c>
      <c r="D391" t="inlineStr">
        <is>
          <t>KRONOBERGS LÄN</t>
        </is>
      </c>
      <c r="E391" t="inlineStr">
        <is>
          <t>MARKARYD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54176-2023</t>
        </is>
      </c>
      <c r="B392" s="1" t="n">
        <v>45232</v>
      </c>
      <c r="C392" s="1" t="n">
        <v>45472</v>
      </c>
      <c r="D392" t="inlineStr">
        <is>
          <t>KRONOBERGS LÄN</t>
        </is>
      </c>
      <c r="E392" t="inlineStr">
        <is>
          <t>MARKARYD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54486-2023</t>
        </is>
      </c>
      <c r="B393" s="1" t="n">
        <v>45233</v>
      </c>
      <c r="C393" s="1" t="n">
        <v>45472</v>
      </c>
      <c r="D393" t="inlineStr">
        <is>
          <t>KRONOBERGS LÄN</t>
        </is>
      </c>
      <c r="E393" t="inlineStr">
        <is>
          <t>MARKARYD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54926-2023</t>
        </is>
      </c>
      <c r="B394" s="1" t="n">
        <v>45236</v>
      </c>
      <c r="C394" s="1" t="n">
        <v>45472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54934-2023</t>
        </is>
      </c>
      <c r="B395" s="1" t="n">
        <v>45236</v>
      </c>
      <c r="C395" s="1" t="n">
        <v>45472</v>
      </c>
      <c r="D395" t="inlineStr">
        <is>
          <t>KRONOBERGS LÄN</t>
        </is>
      </c>
      <c r="E395" t="inlineStr">
        <is>
          <t>MARKARYD</t>
        </is>
      </c>
      <c r="G395" t="n">
        <v>4.9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54819-2023</t>
        </is>
      </c>
      <c r="B396" s="1" t="n">
        <v>45236</v>
      </c>
      <c r="C396" s="1" t="n">
        <v>45472</v>
      </c>
      <c r="D396" t="inlineStr">
        <is>
          <t>KRONOBERGS LÄN</t>
        </is>
      </c>
      <c r="E396" t="inlineStr">
        <is>
          <t>MARKARYD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55020-2023</t>
        </is>
      </c>
      <c r="B397" s="1" t="n">
        <v>45237</v>
      </c>
      <c r="C397" s="1" t="n">
        <v>45472</v>
      </c>
      <c r="D397" t="inlineStr">
        <is>
          <t>KRONOBERGS LÄN</t>
        </is>
      </c>
      <c r="E397" t="inlineStr">
        <is>
          <t>MARKARYD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55214-2023</t>
        </is>
      </c>
      <c r="B398" s="1" t="n">
        <v>45237</v>
      </c>
      <c r="C398" s="1" t="n">
        <v>45472</v>
      </c>
      <c r="D398" t="inlineStr">
        <is>
          <t>KRONOBERGS LÄN</t>
        </is>
      </c>
      <c r="E398" t="inlineStr">
        <is>
          <t>MARKARYD</t>
        </is>
      </c>
      <c r="G398" t="n">
        <v>4.3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55206-2023</t>
        </is>
      </c>
      <c r="B399" s="1" t="n">
        <v>45237</v>
      </c>
      <c r="C399" s="1" t="n">
        <v>45472</v>
      </c>
      <c r="D399" t="inlineStr">
        <is>
          <t>KRONOBERGS LÄN</t>
        </is>
      </c>
      <c r="E399" t="inlineStr">
        <is>
          <t>MARKARYD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56088-2023</t>
        </is>
      </c>
      <c r="B400" s="1" t="n">
        <v>45240</v>
      </c>
      <c r="C400" s="1" t="n">
        <v>45472</v>
      </c>
      <c r="D400" t="inlineStr">
        <is>
          <t>KRONOBERGS LÄN</t>
        </is>
      </c>
      <c r="E400" t="inlineStr">
        <is>
          <t>MARKARYD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56008-2023</t>
        </is>
      </c>
      <c r="B401" s="1" t="n">
        <v>45240</v>
      </c>
      <c r="C401" s="1" t="n">
        <v>45472</v>
      </c>
      <c r="D401" t="inlineStr">
        <is>
          <t>KRONOBERGS LÄN</t>
        </is>
      </c>
      <c r="E401" t="inlineStr">
        <is>
          <t>MARKARYD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57030-2023</t>
        </is>
      </c>
      <c r="B402" s="1" t="n">
        <v>45244</v>
      </c>
      <c r="C402" s="1" t="n">
        <v>45472</v>
      </c>
      <c r="D402" t="inlineStr">
        <is>
          <t>KRONOBERGS LÄN</t>
        </is>
      </c>
      <c r="E402" t="inlineStr">
        <is>
          <t>MARKARYD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57028-2023</t>
        </is>
      </c>
      <c r="B403" s="1" t="n">
        <v>45244</v>
      </c>
      <c r="C403" s="1" t="n">
        <v>45472</v>
      </c>
      <c r="D403" t="inlineStr">
        <is>
          <t>KRONOBERGS LÄN</t>
        </is>
      </c>
      <c r="E403" t="inlineStr">
        <is>
          <t>MARKARYD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59985-2023</t>
        </is>
      </c>
      <c r="B404" s="1" t="n">
        <v>45257</v>
      </c>
      <c r="C404" s="1" t="n">
        <v>45472</v>
      </c>
      <c r="D404" t="inlineStr">
        <is>
          <t>KRONOBERGS LÄN</t>
        </is>
      </c>
      <c r="E404" t="inlineStr">
        <is>
          <t>MARKARYD</t>
        </is>
      </c>
      <c r="G404" t="n">
        <v>2.9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60115-2023</t>
        </is>
      </c>
      <c r="B405" s="1" t="n">
        <v>45258</v>
      </c>
      <c r="C405" s="1" t="n">
        <v>45472</v>
      </c>
      <c r="D405" t="inlineStr">
        <is>
          <t>KRONOBERGS LÄN</t>
        </is>
      </c>
      <c r="E405" t="inlineStr">
        <is>
          <t>MARKARYD</t>
        </is>
      </c>
      <c r="G405" t="n">
        <v>2.5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60118-2023</t>
        </is>
      </c>
      <c r="B406" s="1" t="n">
        <v>45258</v>
      </c>
      <c r="C406" s="1" t="n">
        <v>45472</v>
      </c>
      <c r="D406" t="inlineStr">
        <is>
          <t>KRONOBERGS LÄN</t>
        </is>
      </c>
      <c r="E406" t="inlineStr">
        <is>
          <t>MARKARYD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60231-2023</t>
        </is>
      </c>
      <c r="B407" s="1" t="n">
        <v>45258</v>
      </c>
      <c r="C407" s="1" t="n">
        <v>45472</v>
      </c>
      <c r="D407" t="inlineStr">
        <is>
          <t>KRONOBERGS LÄN</t>
        </is>
      </c>
      <c r="E407" t="inlineStr">
        <is>
          <t>MARKARYD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60121-2023</t>
        </is>
      </c>
      <c r="B408" s="1" t="n">
        <v>45258</v>
      </c>
      <c r="C408" s="1" t="n">
        <v>45472</v>
      </c>
      <c r="D408" t="inlineStr">
        <is>
          <t>KRONOBERGS LÄN</t>
        </is>
      </c>
      <c r="E408" t="inlineStr">
        <is>
          <t>MARKARYD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61626-2023</t>
        </is>
      </c>
      <c r="B409" s="1" t="n">
        <v>45265</v>
      </c>
      <c r="C409" s="1" t="n">
        <v>45472</v>
      </c>
      <c r="D409" t="inlineStr">
        <is>
          <t>KRONOBERGS LÄN</t>
        </is>
      </c>
      <c r="E409" t="inlineStr">
        <is>
          <t>MARKARYD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61631-2023</t>
        </is>
      </c>
      <c r="B410" s="1" t="n">
        <v>45265</v>
      </c>
      <c r="C410" s="1" t="n">
        <v>45472</v>
      </c>
      <c r="D410" t="inlineStr">
        <is>
          <t>KRONOBERGS LÄN</t>
        </is>
      </c>
      <c r="E410" t="inlineStr">
        <is>
          <t>MARKARYD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61753-2023</t>
        </is>
      </c>
      <c r="B411" s="1" t="n">
        <v>45265</v>
      </c>
      <c r="C411" s="1" t="n">
        <v>45472</v>
      </c>
      <c r="D411" t="inlineStr">
        <is>
          <t>KRONOBERGS LÄN</t>
        </is>
      </c>
      <c r="E411" t="inlineStr">
        <is>
          <t>MARKARYD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61632-2023</t>
        </is>
      </c>
      <c r="B412" s="1" t="n">
        <v>45265</v>
      </c>
      <c r="C412" s="1" t="n">
        <v>45472</v>
      </c>
      <c r="D412" t="inlineStr">
        <is>
          <t>KRONOBERGS LÄN</t>
        </is>
      </c>
      <c r="E412" t="inlineStr">
        <is>
          <t>MARKARYD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61625-2023</t>
        </is>
      </c>
      <c r="B413" s="1" t="n">
        <v>45265</v>
      </c>
      <c r="C413" s="1" t="n">
        <v>45472</v>
      </c>
      <c r="D413" t="inlineStr">
        <is>
          <t>KRONOBERGS LÄN</t>
        </is>
      </c>
      <c r="E413" t="inlineStr">
        <is>
          <t>MARKARYD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61752-2023</t>
        </is>
      </c>
      <c r="B414" s="1" t="n">
        <v>45265</v>
      </c>
      <c r="C414" s="1" t="n">
        <v>45472</v>
      </c>
      <c r="D414" t="inlineStr">
        <is>
          <t>KRONOBERGS LÄN</t>
        </is>
      </c>
      <c r="E414" t="inlineStr">
        <is>
          <t>MARKARYD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61623-2023</t>
        </is>
      </c>
      <c r="B415" s="1" t="n">
        <v>45265</v>
      </c>
      <c r="C415" s="1" t="n">
        <v>45472</v>
      </c>
      <c r="D415" t="inlineStr">
        <is>
          <t>KRONOBERGS LÄN</t>
        </is>
      </c>
      <c r="E415" t="inlineStr">
        <is>
          <t>MARKARYD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61639-2023</t>
        </is>
      </c>
      <c r="B416" s="1" t="n">
        <v>45265</v>
      </c>
      <c r="C416" s="1" t="n">
        <v>45472</v>
      </c>
      <c r="D416" t="inlineStr">
        <is>
          <t>KRONOBERGS LÄN</t>
        </is>
      </c>
      <c r="E416" t="inlineStr">
        <is>
          <t>MARKARYD</t>
        </is>
      </c>
      <c r="G416" t="n">
        <v>5.6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62030-2023</t>
        </is>
      </c>
      <c r="B417" s="1" t="n">
        <v>45266</v>
      </c>
      <c r="C417" s="1" t="n">
        <v>45472</v>
      </c>
      <c r="D417" t="inlineStr">
        <is>
          <t>KRONOBERGS LÄN</t>
        </is>
      </c>
      <c r="E417" t="inlineStr">
        <is>
          <t>MARKARYD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62012-2023</t>
        </is>
      </c>
      <c r="B418" s="1" t="n">
        <v>45266</v>
      </c>
      <c r="C418" s="1" t="n">
        <v>45472</v>
      </c>
      <c r="D418" t="inlineStr">
        <is>
          <t>KRONOBERGS LÄN</t>
        </is>
      </c>
      <c r="E418" t="inlineStr">
        <is>
          <t>MARKARYD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62081-2023</t>
        </is>
      </c>
      <c r="B419" s="1" t="n">
        <v>45266</v>
      </c>
      <c r="C419" s="1" t="n">
        <v>45472</v>
      </c>
      <c r="D419" t="inlineStr">
        <is>
          <t>KRONOBERGS LÄN</t>
        </is>
      </c>
      <c r="E419" t="inlineStr">
        <is>
          <t>MARKARYD</t>
        </is>
      </c>
      <c r="G419" t="n">
        <v>9.699999999999999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62309-2023</t>
        </is>
      </c>
      <c r="B420" s="1" t="n">
        <v>45267</v>
      </c>
      <c r="C420" s="1" t="n">
        <v>45472</v>
      </c>
      <c r="D420" t="inlineStr">
        <is>
          <t>KRONOBERGS LÄN</t>
        </is>
      </c>
      <c r="E420" t="inlineStr">
        <is>
          <t>MARKARYD</t>
        </is>
      </c>
      <c r="G420" t="n">
        <v>13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62513-2023</t>
        </is>
      </c>
      <c r="B421" s="1" t="n">
        <v>45268</v>
      </c>
      <c r="C421" s="1" t="n">
        <v>45472</v>
      </c>
      <c r="D421" t="inlineStr">
        <is>
          <t>KRONOBERGS LÄN</t>
        </is>
      </c>
      <c r="E421" t="inlineStr">
        <is>
          <t>MARKARYD</t>
        </is>
      </c>
      <c r="F421" t="inlineStr">
        <is>
          <t>Sveaskog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62518-2023</t>
        </is>
      </c>
      <c r="B422" s="1" t="n">
        <v>45268</v>
      </c>
      <c r="C422" s="1" t="n">
        <v>45472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62514-2023</t>
        </is>
      </c>
      <c r="B423" s="1" t="n">
        <v>45268</v>
      </c>
      <c r="C423" s="1" t="n">
        <v>45472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62519-2023</t>
        </is>
      </c>
      <c r="B424" s="1" t="n">
        <v>45268</v>
      </c>
      <c r="C424" s="1" t="n">
        <v>45472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4.7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63536-2023</t>
        </is>
      </c>
      <c r="B425" s="1" t="n">
        <v>45275</v>
      </c>
      <c r="C425" s="1" t="n">
        <v>45472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63538-2023</t>
        </is>
      </c>
      <c r="B426" s="1" t="n">
        <v>45275</v>
      </c>
      <c r="C426" s="1" t="n">
        <v>45472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63537-2023</t>
        </is>
      </c>
      <c r="B427" s="1" t="n">
        <v>45275</v>
      </c>
      <c r="C427" s="1" t="n">
        <v>45472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63718-2023</t>
        </is>
      </c>
      <c r="B428" s="1" t="n">
        <v>45275</v>
      </c>
      <c r="C428" s="1" t="n">
        <v>45472</v>
      </c>
      <c r="D428" t="inlineStr">
        <is>
          <t>KRONOBERGS LÄN</t>
        </is>
      </c>
      <c r="E428" t="inlineStr">
        <is>
          <t>MARKARYD</t>
        </is>
      </c>
      <c r="F428" t="inlineStr">
        <is>
          <t>Kyrkan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64104-2023</t>
        </is>
      </c>
      <c r="B429" s="1" t="n">
        <v>45279</v>
      </c>
      <c r="C429" s="1" t="n">
        <v>45472</v>
      </c>
      <c r="D429" t="inlineStr">
        <is>
          <t>KRONOBERGS LÄN</t>
        </is>
      </c>
      <c r="E429" t="inlineStr">
        <is>
          <t>MARKARYD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64508-2023</t>
        </is>
      </c>
      <c r="B430" s="1" t="n">
        <v>45281</v>
      </c>
      <c r="C430" s="1" t="n">
        <v>45472</v>
      </c>
      <c r="D430" t="inlineStr">
        <is>
          <t>KRONOBERGS LÄN</t>
        </is>
      </c>
      <c r="E430" t="inlineStr">
        <is>
          <t>MARKARYD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64512-2023</t>
        </is>
      </c>
      <c r="B431" s="1" t="n">
        <v>45281</v>
      </c>
      <c r="C431" s="1" t="n">
        <v>45472</v>
      </c>
      <c r="D431" t="inlineStr">
        <is>
          <t>KRONOBERGS LÄN</t>
        </is>
      </c>
      <c r="E431" t="inlineStr">
        <is>
          <t>MARKARYD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64507-2023</t>
        </is>
      </c>
      <c r="B432" s="1" t="n">
        <v>45281</v>
      </c>
      <c r="C432" s="1" t="n">
        <v>45472</v>
      </c>
      <c r="D432" t="inlineStr">
        <is>
          <t>KRONOBERGS LÄN</t>
        </is>
      </c>
      <c r="E432" t="inlineStr">
        <is>
          <t>MARKARYD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64511-2023</t>
        </is>
      </c>
      <c r="B433" s="1" t="n">
        <v>45281</v>
      </c>
      <c r="C433" s="1" t="n">
        <v>45472</v>
      </c>
      <c r="D433" t="inlineStr">
        <is>
          <t>KRONOBERGS LÄN</t>
        </is>
      </c>
      <c r="E433" t="inlineStr">
        <is>
          <t>MARKARYD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64509-2023</t>
        </is>
      </c>
      <c r="B434" s="1" t="n">
        <v>45281</v>
      </c>
      <c r="C434" s="1" t="n">
        <v>45472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64776-2023</t>
        </is>
      </c>
      <c r="B435" s="1" t="n">
        <v>45281</v>
      </c>
      <c r="C435" s="1" t="n">
        <v>45472</v>
      </c>
      <c r="D435" t="inlineStr">
        <is>
          <t>KRONOBERGS LÄN</t>
        </is>
      </c>
      <c r="E435" t="inlineStr">
        <is>
          <t>MARKARYD</t>
        </is>
      </c>
      <c r="F435" t="inlineStr">
        <is>
          <t>Kyrkan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64916-2023</t>
        </is>
      </c>
      <c r="B436" s="1" t="n">
        <v>45282</v>
      </c>
      <c r="C436" s="1" t="n">
        <v>45472</v>
      </c>
      <c r="D436" t="inlineStr">
        <is>
          <t>KRONOBERGS LÄN</t>
        </is>
      </c>
      <c r="E436" t="inlineStr">
        <is>
          <t>MARKARYD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64918-2023</t>
        </is>
      </c>
      <c r="B437" s="1" t="n">
        <v>45282</v>
      </c>
      <c r="C437" s="1" t="n">
        <v>45472</v>
      </c>
      <c r="D437" t="inlineStr">
        <is>
          <t>KRONOBERGS LÄN</t>
        </is>
      </c>
      <c r="E437" t="inlineStr">
        <is>
          <t>MARKARYD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64926-2023</t>
        </is>
      </c>
      <c r="B438" s="1" t="n">
        <v>45282</v>
      </c>
      <c r="C438" s="1" t="n">
        <v>45472</v>
      </c>
      <c r="D438" t="inlineStr">
        <is>
          <t>KRONOBERGS LÄN</t>
        </is>
      </c>
      <c r="E438" t="inlineStr">
        <is>
          <t>MARKARYD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64854-2023</t>
        </is>
      </c>
      <c r="B439" s="1" t="n">
        <v>45282</v>
      </c>
      <c r="C439" s="1" t="n">
        <v>45472</v>
      </c>
      <c r="D439" t="inlineStr">
        <is>
          <t>KRONOBERGS LÄN</t>
        </is>
      </c>
      <c r="E439" t="inlineStr">
        <is>
          <t>MARKARYD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64858-2023</t>
        </is>
      </c>
      <c r="B440" s="1" t="n">
        <v>45282</v>
      </c>
      <c r="C440" s="1" t="n">
        <v>45472</v>
      </c>
      <c r="D440" t="inlineStr">
        <is>
          <t>KRONOBERGS LÄN</t>
        </is>
      </c>
      <c r="E440" t="inlineStr">
        <is>
          <t>MARKARYD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64915-2023</t>
        </is>
      </c>
      <c r="B441" s="1" t="n">
        <v>45282</v>
      </c>
      <c r="C441" s="1" t="n">
        <v>45472</v>
      </c>
      <c r="D441" t="inlineStr">
        <is>
          <t>KRONOBERGS LÄN</t>
        </is>
      </c>
      <c r="E441" t="inlineStr">
        <is>
          <t>MARKARYD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64856-2023</t>
        </is>
      </c>
      <c r="B442" s="1" t="n">
        <v>45282</v>
      </c>
      <c r="C442" s="1" t="n">
        <v>45472</v>
      </c>
      <c r="D442" t="inlineStr">
        <is>
          <t>KRONOBERGS LÄN</t>
        </is>
      </c>
      <c r="E442" t="inlineStr">
        <is>
          <t>MARKARYD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42-2024</t>
        </is>
      </c>
      <c r="B443" s="1" t="n">
        <v>45293</v>
      </c>
      <c r="C443" s="1" t="n">
        <v>45472</v>
      </c>
      <c r="D443" t="inlineStr">
        <is>
          <t>KRONOBERGS LÄN</t>
        </is>
      </c>
      <c r="E443" t="inlineStr">
        <is>
          <t>MARKARYD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424-2024</t>
        </is>
      </c>
      <c r="B444" s="1" t="n">
        <v>45296</v>
      </c>
      <c r="C444" s="1" t="n">
        <v>45472</v>
      </c>
      <c r="D444" t="inlineStr">
        <is>
          <t>KRONOBERGS LÄN</t>
        </is>
      </c>
      <c r="E444" t="inlineStr">
        <is>
          <t>MARKARYD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1654-2024</t>
        </is>
      </c>
      <c r="B445" s="1" t="n">
        <v>45306</v>
      </c>
      <c r="C445" s="1" t="n">
        <v>45472</v>
      </c>
      <c r="D445" t="inlineStr">
        <is>
          <t>KRONOBERGS LÄN</t>
        </is>
      </c>
      <c r="E445" t="inlineStr">
        <is>
          <t>MARKARYD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1653-2024</t>
        </is>
      </c>
      <c r="B446" s="1" t="n">
        <v>45306</v>
      </c>
      <c r="C446" s="1" t="n">
        <v>45472</v>
      </c>
      <c r="D446" t="inlineStr">
        <is>
          <t>KRONOBERGS LÄN</t>
        </is>
      </c>
      <c r="E446" t="inlineStr">
        <is>
          <t>MARKARYD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1656-2024</t>
        </is>
      </c>
      <c r="B447" s="1" t="n">
        <v>45306</v>
      </c>
      <c r="C447" s="1" t="n">
        <v>45472</v>
      </c>
      <c r="D447" t="inlineStr">
        <is>
          <t>KRONOBERGS LÄN</t>
        </is>
      </c>
      <c r="E447" t="inlineStr">
        <is>
          <t>MARKARYD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4028-2024</t>
        </is>
      </c>
      <c r="B448" s="1" t="n">
        <v>45323</v>
      </c>
      <c r="C448" s="1" t="n">
        <v>45472</v>
      </c>
      <c r="D448" t="inlineStr">
        <is>
          <t>KRONOBERGS LÄN</t>
        </is>
      </c>
      <c r="E448" t="inlineStr">
        <is>
          <t>MARKARYD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4413-2024</t>
        </is>
      </c>
      <c r="B449" s="1" t="n">
        <v>45327</v>
      </c>
      <c r="C449" s="1" t="n">
        <v>45472</v>
      </c>
      <c r="D449" t="inlineStr">
        <is>
          <t>KRONOBERGS LÄN</t>
        </is>
      </c>
      <c r="E449" t="inlineStr">
        <is>
          <t>MARKARYD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4829-2024</t>
        </is>
      </c>
      <c r="B450" s="1" t="n">
        <v>45329</v>
      </c>
      <c r="C450" s="1" t="n">
        <v>45472</v>
      </c>
      <c r="D450" t="inlineStr">
        <is>
          <t>KRONOBERGS LÄN</t>
        </is>
      </c>
      <c r="E450" t="inlineStr">
        <is>
          <t>MARKARYD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5360-2024</t>
        </is>
      </c>
      <c r="B451" s="1" t="n">
        <v>45331</v>
      </c>
      <c r="C451" s="1" t="n">
        <v>45472</v>
      </c>
      <c r="D451" t="inlineStr">
        <is>
          <t>KRONOBERGS LÄN</t>
        </is>
      </c>
      <c r="E451" t="inlineStr">
        <is>
          <t>MARKARYD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5353-2024</t>
        </is>
      </c>
      <c r="B452" s="1" t="n">
        <v>45331</v>
      </c>
      <c r="C452" s="1" t="n">
        <v>45472</v>
      </c>
      <c r="D452" t="inlineStr">
        <is>
          <t>KRONOBERGS LÄN</t>
        </is>
      </c>
      <c r="E452" t="inlineStr">
        <is>
          <t>MARKARYD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5463-2024</t>
        </is>
      </c>
      <c r="B453" s="1" t="n">
        <v>45332</v>
      </c>
      <c r="C453" s="1" t="n">
        <v>45472</v>
      </c>
      <c r="D453" t="inlineStr">
        <is>
          <t>KRONOBERGS LÄN</t>
        </is>
      </c>
      <c r="E453" t="inlineStr">
        <is>
          <t>MARKARYD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5517-2024</t>
        </is>
      </c>
      <c r="B454" s="1" t="n">
        <v>45334</v>
      </c>
      <c r="C454" s="1" t="n">
        <v>45472</v>
      </c>
      <c r="D454" t="inlineStr">
        <is>
          <t>KRONOBERGS LÄN</t>
        </is>
      </c>
      <c r="E454" t="inlineStr">
        <is>
          <t>MARKARYD</t>
        </is>
      </c>
      <c r="G454" t="n">
        <v>3.4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5512-2024</t>
        </is>
      </c>
      <c r="B455" s="1" t="n">
        <v>45334</v>
      </c>
      <c r="C455" s="1" t="n">
        <v>45472</v>
      </c>
      <c r="D455" t="inlineStr">
        <is>
          <t>KRONOBERGS LÄN</t>
        </is>
      </c>
      <c r="E455" t="inlineStr">
        <is>
          <t>MARKARYD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7190-2024</t>
        </is>
      </c>
      <c r="B456" s="1" t="n">
        <v>45344</v>
      </c>
      <c r="C456" s="1" t="n">
        <v>45472</v>
      </c>
      <c r="D456" t="inlineStr">
        <is>
          <t>KRONOBERGS LÄN</t>
        </is>
      </c>
      <c r="E456" t="inlineStr">
        <is>
          <t>MARKARYD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7501-2024</t>
        </is>
      </c>
      <c r="B457" s="1" t="n">
        <v>45347</v>
      </c>
      <c r="C457" s="1" t="n">
        <v>45472</v>
      </c>
      <c r="D457" t="inlineStr">
        <is>
          <t>KRONOBERGS LÄN</t>
        </is>
      </c>
      <c r="E457" t="inlineStr">
        <is>
          <t>MARKARYD</t>
        </is>
      </c>
      <c r="G457" t="n">
        <v>15.1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8090-2024</t>
        </is>
      </c>
      <c r="B458" s="1" t="n">
        <v>45351</v>
      </c>
      <c r="C458" s="1" t="n">
        <v>45472</v>
      </c>
      <c r="D458" t="inlineStr">
        <is>
          <t>KRONOBERGS LÄN</t>
        </is>
      </c>
      <c r="E458" t="inlineStr">
        <is>
          <t>MARKARYD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8277-2024</t>
        </is>
      </c>
      <c r="B459" s="1" t="n">
        <v>45352</v>
      </c>
      <c r="C459" s="1" t="n">
        <v>45472</v>
      </c>
      <c r="D459" t="inlineStr">
        <is>
          <t>KRONOBERGS LÄN</t>
        </is>
      </c>
      <c r="E459" t="inlineStr">
        <is>
          <t>MARKARYD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8939-2024</t>
        </is>
      </c>
      <c r="B460" s="1" t="n">
        <v>45357</v>
      </c>
      <c r="C460" s="1" t="n">
        <v>45472</v>
      </c>
      <c r="D460" t="inlineStr">
        <is>
          <t>KRONOBERGS LÄN</t>
        </is>
      </c>
      <c r="E460" t="inlineStr">
        <is>
          <t>MARKARYD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9617-2024</t>
        </is>
      </c>
      <c r="B461" s="1" t="n">
        <v>45361</v>
      </c>
      <c r="C461" s="1" t="n">
        <v>45472</v>
      </c>
      <c r="D461" t="inlineStr">
        <is>
          <t>KRONOBERGS LÄN</t>
        </is>
      </c>
      <c r="E461" t="inlineStr">
        <is>
          <t>MARKARYD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10476-2024</t>
        </is>
      </c>
      <c r="B462" s="1" t="n">
        <v>45366</v>
      </c>
      <c r="C462" s="1" t="n">
        <v>45472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10664-2024</t>
        </is>
      </c>
      <c r="B463" s="1" t="n">
        <v>45367</v>
      </c>
      <c r="C463" s="1" t="n">
        <v>45472</v>
      </c>
      <c r="D463" t="inlineStr">
        <is>
          <t>KRONOBERGS LÄN</t>
        </is>
      </c>
      <c r="E463" t="inlineStr">
        <is>
          <t>MARKARYD</t>
        </is>
      </c>
      <c r="G463" t="n">
        <v>1.2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10663-2024</t>
        </is>
      </c>
      <c r="B464" s="1" t="n">
        <v>45367</v>
      </c>
      <c r="C464" s="1" t="n">
        <v>45472</v>
      </c>
      <c r="D464" t="inlineStr">
        <is>
          <t>KRONOBERGS LÄN</t>
        </is>
      </c>
      <c r="E464" t="inlineStr">
        <is>
          <t>MARKARYD</t>
        </is>
      </c>
      <c r="G464" t="n">
        <v>4.7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10665-2024</t>
        </is>
      </c>
      <c r="B465" s="1" t="n">
        <v>45367</v>
      </c>
      <c r="C465" s="1" t="n">
        <v>45472</v>
      </c>
      <c r="D465" t="inlineStr">
        <is>
          <t>KRONOBERGS LÄN</t>
        </is>
      </c>
      <c r="E465" t="inlineStr">
        <is>
          <t>MARKARYD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11021-2024</t>
        </is>
      </c>
      <c r="B466" s="1" t="n">
        <v>45370</v>
      </c>
      <c r="C466" s="1" t="n">
        <v>45472</v>
      </c>
      <c r="D466" t="inlineStr">
        <is>
          <t>KRONOBERGS LÄN</t>
        </is>
      </c>
      <c r="E466" t="inlineStr">
        <is>
          <t>MARKARYD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11215-2024</t>
        </is>
      </c>
      <c r="B467" s="1" t="n">
        <v>45371</v>
      </c>
      <c r="C467" s="1" t="n">
        <v>45472</v>
      </c>
      <c r="D467" t="inlineStr">
        <is>
          <t>KRONOBERGS LÄN</t>
        </is>
      </c>
      <c r="E467" t="inlineStr">
        <is>
          <t>MARKARYD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11231-2024</t>
        </is>
      </c>
      <c r="B468" s="1" t="n">
        <v>45371</v>
      </c>
      <c r="C468" s="1" t="n">
        <v>45472</v>
      </c>
      <c r="D468" t="inlineStr">
        <is>
          <t>KRONOBERGS LÄN</t>
        </is>
      </c>
      <c r="E468" t="inlineStr">
        <is>
          <t>MARKARYD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11497-2024</t>
        </is>
      </c>
      <c r="B469" s="1" t="n">
        <v>45372</v>
      </c>
      <c r="C469" s="1" t="n">
        <v>45472</v>
      </c>
      <c r="D469" t="inlineStr">
        <is>
          <t>KRONOBERGS LÄN</t>
        </is>
      </c>
      <c r="E469" t="inlineStr">
        <is>
          <t>MARKARYD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11470-2024</t>
        </is>
      </c>
      <c r="B470" s="1" t="n">
        <v>45372</v>
      </c>
      <c r="C470" s="1" t="n">
        <v>45472</v>
      </c>
      <c r="D470" t="inlineStr">
        <is>
          <t>KRONOBERGS LÄN</t>
        </is>
      </c>
      <c r="E470" t="inlineStr">
        <is>
          <t>MARKARYD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11582-2024</t>
        </is>
      </c>
      <c r="B471" s="1" t="n">
        <v>45373</v>
      </c>
      <c r="C471" s="1" t="n">
        <v>45472</v>
      </c>
      <c r="D471" t="inlineStr">
        <is>
          <t>KRONOBERGS LÄN</t>
        </is>
      </c>
      <c r="E471" t="inlineStr">
        <is>
          <t>MARKARYD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12341-2024</t>
        </is>
      </c>
      <c r="B472" s="1" t="n">
        <v>45378</v>
      </c>
      <c r="C472" s="1" t="n">
        <v>45472</v>
      </c>
      <c r="D472" t="inlineStr">
        <is>
          <t>KRONOBERGS LÄN</t>
        </is>
      </c>
      <c r="E472" t="inlineStr">
        <is>
          <t>MARKARYD</t>
        </is>
      </c>
      <c r="G472" t="n">
        <v>5.1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12343-2024</t>
        </is>
      </c>
      <c r="B473" s="1" t="n">
        <v>45378</v>
      </c>
      <c r="C473" s="1" t="n">
        <v>45472</v>
      </c>
      <c r="D473" t="inlineStr">
        <is>
          <t>KRONOBERGS LÄN</t>
        </is>
      </c>
      <c r="E473" t="inlineStr">
        <is>
          <t>MARKARYD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14346-2024</t>
        </is>
      </c>
      <c r="B474" s="1" t="n">
        <v>45393</v>
      </c>
      <c r="C474" s="1" t="n">
        <v>45472</v>
      </c>
      <c r="D474" t="inlineStr">
        <is>
          <t>KRONOBERGS LÄN</t>
        </is>
      </c>
      <c r="E474" t="inlineStr">
        <is>
          <t>MARKARYD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15275-2024</t>
        </is>
      </c>
      <c r="B475" s="1" t="n">
        <v>45400</v>
      </c>
      <c r="C475" s="1" t="n">
        <v>45472</v>
      </c>
      <c r="D475" t="inlineStr">
        <is>
          <t>KRONOBERGS LÄN</t>
        </is>
      </c>
      <c r="E475" t="inlineStr">
        <is>
          <t>MARKARYD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15496-2024</t>
        </is>
      </c>
      <c r="B476" s="1" t="n">
        <v>45401</v>
      </c>
      <c r="C476" s="1" t="n">
        <v>45472</v>
      </c>
      <c r="D476" t="inlineStr">
        <is>
          <t>KRONOBERGS LÄN</t>
        </is>
      </c>
      <c r="E476" t="inlineStr">
        <is>
          <t>MARKARYD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15778-2024</t>
        </is>
      </c>
      <c r="B477" s="1" t="n">
        <v>45404</v>
      </c>
      <c r="C477" s="1" t="n">
        <v>45472</v>
      </c>
      <c r="D477" t="inlineStr">
        <is>
          <t>KRONOBERGS LÄN</t>
        </is>
      </c>
      <c r="E477" t="inlineStr">
        <is>
          <t>MARKARYD</t>
        </is>
      </c>
      <c r="G477" t="n">
        <v>2.1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15761-2024</t>
        </is>
      </c>
      <c r="B478" s="1" t="n">
        <v>45404</v>
      </c>
      <c r="C478" s="1" t="n">
        <v>45472</v>
      </c>
      <c r="D478" t="inlineStr">
        <is>
          <t>KRONOBERGS LÄN</t>
        </is>
      </c>
      <c r="E478" t="inlineStr">
        <is>
          <t>MARKARYD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15773-2024</t>
        </is>
      </c>
      <c r="B479" s="1" t="n">
        <v>45404</v>
      </c>
      <c r="C479" s="1" t="n">
        <v>45472</v>
      </c>
      <c r="D479" t="inlineStr">
        <is>
          <t>KRONOBERGS LÄN</t>
        </is>
      </c>
      <c r="E479" t="inlineStr">
        <is>
          <t>MARKARYD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15763-2024</t>
        </is>
      </c>
      <c r="B480" s="1" t="n">
        <v>45404</v>
      </c>
      <c r="C480" s="1" t="n">
        <v>45472</v>
      </c>
      <c r="D480" t="inlineStr">
        <is>
          <t>KRONOBERGS LÄN</t>
        </is>
      </c>
      <c r="E480" t="inlineStr">
        <is>
          <t>MARKARYD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16429-2024</t>
        </is>
      </c>
      <c r="B481" s="1" t="n">
        <v>45407</v>
      </c>
      <c r="C481" s="1" t="n">
        <v>45472</v>
      </c>
      <c r="D481" t="inlineStr">
        <is>
          <t>KRONOBERGS LÄN</t>
        </is>
      </c>
      <c r="E481" t="inlineStr">
        <is>
          <t>MARKARYD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16513-2024</t>
        </is>
      </c>
      <c r="B482" s="1" t="n">
        <v>45408</v>
      </c>
      <c r="C482" s="1" t="n">
        <v>45472</v>
      </c>
      <c r="D482" t="inlineStr">
        <is>
          <t>KRONOBERGS LÄN</t>
        </is>
      </c>
      <c r="E482" t="inlineStr">
        <is>
          <t>MARKARYD</t>
        </is>
      </c>
      <c r="G482" t="n">
        <v>4.9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17255-2024</t>
        </is>
      </c>
      <c r="B483" s="1" t="n">
        <v>45414</v>
      </c>
      <c r="C483" s="1" t="n">
        <v>45472</v>
      </c>
      <c r="D483" t="inlineStr">
        <is>
          <t>KRONOBERGS LÄN</t>
        </is>
      </c>
      <c r="E483" t="inlineStr">
        <is>
          <t>MARKARYD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17293-2024</t>
        </is>
      </c>
      <c r="B484" s="1" t="n">
        <v>45414</v>
      </c>
      <c r="C484" s="1" t="n">
        <v>45472</v>
      </c>
      <c r="D484" t="inlineStr">
        <is>
          <t>KRONOBERGS LÄN</t>
        </is>
      </c>
      <c r="E484" t="inlineStr">
        <is>
          <t>MARKARYD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17684-2024</t>
        </is>
      </c>
      <c r="B485" s="1" t="n">
        <v>45418</v>
      </c>
      <c r="C485" s="1" t="n">
        <v>45472</v>
      </c>
      <c r="D485" t="inlineStr">
        <is>
          <t>KRONOBERGS LÄN</t>
        </is>
      </c>
      <c r="E485" t="inlineStr">
        <is>
          <t>MARKARYD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17731-2024</t>
        </is>
      </c>
      <c r="B486" s="1" t="n">
        <v>45418</v>
      </c>
      <c r="C486" s="1" t="n">
        <v>45472</v>
      </c>
      <c r="D486" t="inlineStr">
        <is>
          <t>KRONOBERGS LÄN</t>
        </is>
      </c>
      <c r="E486" t="inlineStr">
        <is>
          <t>MARKARYD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17932-2024</t>
        </is>
      </c>
      <c r="B487" s="1" t="n">
        <v>45419</v>
      </c>
      <c r="C487" s="1" t="n">
        <v>45472</v>
      </c>
      <c r="D487" t="inlineStr">
        <is>
          <t>KRONOBERGS LÄN</t>
        </is>
      </c>
      <c r="E487" t="inlineStr">
        <is>
          <t>MARKARYD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18776-2024</t>
        </is>
      </c>
      <c r="B488" s="1" t="n">
        <v>45426</v>
      </c>
      <c r="C488" s="1" t="n">
        <v>45472</v>
      </c>
      <c r="D488" t="inlineStr">
        <is>
          <t>KRONOBERGS LÄN</t>
        </is>
      </c>
      <c r="E488" t="inlineStr">
        <is>
          <t>MARKARYD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19116-2024</t>
        </is>
      </c>
      <c r="B489" s="1" t="n">
        <v>45428</v>
      </c>
      <c r="C489" s="1" t="n">
        <v>45472</v>
      </c>
      <c r="D489" t="inlineStr">
        <is>
          <t>KRONOBERGS LÄN</t>
        </is>
      </c>
      <c r="E489" t="inlineStr">
        <is>
          <t>MARKARYD</t>
        </is>
      </c>
      <c r="G489" t="n">
        <v>2.3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19229-2024</t>
        </is>
      </c>
      <c r="B490" s="1" t="n">
        <v>45428</v>
      </c>
      <c r="C490" s="1" t="n">
        <v>45472</v>
      </c>
      <c r="D490" t="inlineStr">
        <is>
          <t>KRONOBERGS LÄN</t>
        </is>
      </c>
      <c r="E490" t="inlineStr">
        <is>
          <t>MARKARYD</t>
        </is>
      </c>
      <c r="F490" t="inlineStr">
        <is>
          <t>Sveaskog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19212-2024</t>
        </is>
      </c>
      <c r="B491" s="1" t="n">
        <v>45428</v>
      </c>
      <c r="C491" s="1" t="n">
        <v>45472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19219-2024</t>
        </is>
      </c>
      <c r="B492" s="1" t="n">
        <v>45428</v>
      </c>
      <c r="C492" s="1" t="n">
        <v>45472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19399-2024</t>
        </is>
      </c>
      <c r="B493" s="1" t="n">
        <v>45428</v>
      </c>
      <c r="C493" s="1" t="n">
        <v>45472</v>
      </c>
      <c r="D493" t="inlineStr">
        <is>
          <t>KRONOBERGS LÄN</t>
        </is>
      </c>
      <c r="E493" t="inlineStr">
        <is>
          <t>MARKARYD</t>
        </is>
      </c>
      <c r="F493" t="inlineStr">
        <is>
          <t>Kyrkan</t>
        </is>
      </c>
      <c r="G493" t="n">
        <v>3.7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19964-2024</t>
        </is>
      </c>
      <c r="B494" s="1" t="n">
        <v>45433</v>
      </c>
      <c r="C494" s="1" t="n">
        <v>45472</v>
      </c>
      <c r="D494" t="inlineStr">
        <is>
          <t>KRONOBERGS LÄN</t>
        </is>
      </c>
      <c r="E494" t="inlineStr">
        <is>
          <t>MARKARYD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20141-2024</t>
        </is>
      </c>
      <c r="B495" s="1" t="n">
        <v>45434</v>
      </c>
      <c r="C495" s="1" t="n">
        <v>45472</v>
      </c>
      <c r="D495" t="inlineStr">
        <is>
          <t>KRONOBERGS LÄN</t>
        </is>
      </c>
      <c r="E495" t="inlineStr">
        <is>
          <t>MARKARYD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20206-2024</t>
        </is>
      </c>
      <c r="B496" s="1" t="n">
        <v>45434</v>
      </c>
      <c r="C496" s="1" t="n">
        <v>45472</v>
      </c>
      <c r="D496" t="inlineStr">
        <is>
          <t>KRONOBERGS LÄN</t>
        </is>
      </c>
      <c r="E496" t="inlineStr">
        <is>
          <t>MARKARYD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20156-2024</t>
        </is>
      </c>
      <c r="B497" s="1" t="n">
        <v>45434</v>
      </c>
      <c r="C497" s="1" t="n">
        <v>45472</v>
      </c>
      <c r="D497" t="inlineStr">
        <is>
          <t>KRONOBERGS LÄN</t>
        </is>
      </c>
      <c r="E497" t="inlineStr">
        <is>
          <t>MARKARYD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20318-2024</t>
        </is>
      </c>
      <c r="B498" s="1" t="n">
        <v>45435</v>
      </c>
      <c r="C498" s="1" t="n">
        <v>45472</v>
      </c>
      <c r="D498" t="inlineStr">
        <is>
          <t>KRONOBERGS LÄN</t>
        </is>
      </c>
      <c r="E498" t="inlineStr">
        <is>
          <t>MARKARYD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20378-2024</t>
        </is>
      </c>
      <c r="B499" s="1" t="n">
        <v>45435</v>
      </c>
      <c r="C499" s="1" t="n">
        <v>45472</v>
      </c>
      <c r="D499" t="inlineStr">
        <is>
          <t>KRONOBERGS LÄN</t>
        </is>
      </c>
      <c r="E499" t="inlineStr">
        <is>
          <t>MARKARYD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22081-2024</t>
        </is>
      </c>
      <c r="B500" s="1" t="n">
        <v>45443</v>
      </c>
      <c r="C500" s="1" t="n">
        <v>45472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22131-2024</t>
        </is>
      </c>
      <c r="B501" s="1" t="n">
        <v>45444</v>
      </c>
      <c r="C501" s="1" t="n">
        <v>45472</v>
      </c>
      <c r="D501" t="inlineStr">
        <is>
          <t>KRONOBERGS LÄN</t>
        </is>
      </c>
      <c r="E501" t="inlineStr">
        <is>
          <t>MARKARYD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23240-2024</t>
        </is>
      </c>
      <c r="B502" s="1" t="n">
        <v>45453</v>
      </c>
      <c r="C502" s="1" t="n">
        <v>45472</v>
      </c>
      <c r="D502" t="inlineStr">
        <is>
          <t>KRONOBERGS LÄN</t>
        </is>
      </c>
      <c r="E502" t="inlineStr">
        <is>
          <t>MARKARYD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23288-2024</t>
        </is>
      </c>
      <c r="B503" s="1" t="n">
        <v>45453</v>
      </c>
      <c r="C503" s="1" t="n">
        <v>45472</v>
      </c>
      <c r="D503" t="inlineStr">
        <is>
          <t>KRONOBERGS LÄN</t>
        </is>
      </c>
      <c r="E503" t="inlineStr">
        <is>
          <t>MARKARYD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23294-2024</t>
        </is>
      </c>
      <c r="B504" s="1" t="n">
        <v>45453</v>
      </c>
      <c r="C504" s="1" t="n">
        <v>45472</v>
      </c>
      <c r="D504" t="inlineStr">
        <is>
          <t>KRONOBERGS LÄN</t>
        </is>
      </c>
      <c r="E504" t="inlineStr">
        <is>
          <t>MARKARYD</t>
        </is>
      </c>
      <c r="G504" t="n">
        <v>1.4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25104-2024</t>
        </is>
      </c>
      <c r="B505" s="1" t="n">
        <v>45462</v>
      </c>
      <c r="C505" s="1" t="n">
        <v>45472</v>
      </c>
      <c r="D505" t="inlineStr">
        <is>
          <t>KRONOBERGS LÄN</t>
        </is>
      </c>
      <c r="E505" t="inlineStr">
        <is>
          <t>MARKARYD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25096-2024</t>
        </is>
      </c>
      <c r="B506" s="1" t="n">
        <v>45462</v>
      </c>
      <c r="C506" s="1" t="n">
        <v>45472</v>
      </c>
      <c r="D506" t="inlineStr">
        <is>
          <t>KRONOBERGS LÄN</t>
        </is>
      </c>
      <c r="E506" t="inlineStr">
        <is>
          <t>MARKARYD</t>
        </is>
      </c>
      <c r="G506" t="n">
        <v>4.9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25788-2024</t>
        </is>
      </c>
      <c r="B507" s="1" t="n">
        <v>45467</v>
      </c>
      <c r="C507" s="1" t="n">
        <v>45472</v>
      </c>
      <c r="D507" t="inlineStr">
        <is>
          <t>KRONOBERGS LÄN</t>
        </is>
      </c>
      <c r="E507" t="inlineStr">
        <is>
          <t>MARKARYD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26671-2024</t>
        </is>
      </c>
      <c r="B508" s="1" t="n">
        <v>45470</v>
      </c>
      <c r="C508" s="1" t="n">
        <v>45472</v>
      </c>
      <c r="D508" t="inlineStr">
        <is>
          <t>KRONOBERGS LÄN</t>
        </is>
      </c>
      <c r="E508" t="inlineStr">
        <is>
          <t>MARKARYD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26795-2024</t>
        </is>
      </c>
      <c r="B509" s="1" t="n">
        <v>45470</v>
      </c>
      <c r="C509" s="1" t="n">
        <v>45472</v>
      </c>
      <c r="D509" t="inlineStr">
        <is>
          <t>KRONOBERGS LÄN</t>
        </is>
      </c>
      <c r="E509" t="inlineStr">
        <is>
          <t>MARKARYD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2024-06-29T14:00:54Z</dcterms:created>
  <dcterms:modified xmlns:dcterms="http://purl.org/dc/terms/" xmlns:xsi="http://www.w3.org/2001/XMLSchema-instance" xsi:type="dcterms:W3CDTF">2024-06-29T14:00:54Z</dcterms:modified>
</cp:coreProperties>
</file>