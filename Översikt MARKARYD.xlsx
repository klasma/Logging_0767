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46323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46323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62519-2023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45268</v>
      </c>
      <c r="E8" s="1" t="n">
        <v>46323</v>
      </c>
      <c r="F8" t="inlineStr">
        <is>
          <t>KRONOBERGS LÄN</t>
        </is>
      </c>
      <c r="G8" t="inlineStr">
        <is>
          <t>MARKARYD</t>
        </is>
      </c>
      <c r="H8" t="inlineStr">
        <is>
          <t>Sveaskog</t>
        </is>
      </c>
      <c r="I8" t="n">
        <v>4.7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Tjäder</t>
        </is>
      </c>
      <c r="W8">
        <f>HYPERLINK("https://klasma.github.io/Logging_0767/artfynd/A 62519-2023 artfynd.xlsx", "A 62519-2023")</f>
        <v/>
      </c>
      <c r="X8">
        <f>HYPERLINK("https://klasma.github.io/Logging_0767/kartor/A 62519-2023 karta.png", "A 62519-2023")</f>
        <v/>
      </c>
      <c r="Y8">
        <f>HYPERLINK("https://klasma.github.io/Logging_0767/kartor_geotiff/A 62519-2023 georefererad karta.tif", "A 62519-2023")</f>
        <v/>
      </c>
      <c r="AA8">
        <f>HYPERLINK("https://klasma.github.io/Logging_0767/klagomål/A 62519-2023 FSC-klagomål.docx", "A 62519-2023")</f>
        <v/>
      </c>
      <c r="AB8">
        <f>HYPERLINK("https://klasma.github.io/Logging_0767/klagomålsmail/A 62519-2023 FSC-klagomål mail.docx", "A 62519-2023")</f>
        <v/>
      </c>
      <c r="AC8">
        <f>HYPERLINK("https://klasma.github.io/Logging_0767/tillsyn/A 62519-2023 tillsynsbegäran.docx", "A 62519-2023")</f>
        <v/>
      </c>
      <c r="AD8">
        <f>HYPERLINK("https://klasma.github.io/Logging_0767/tillsynsmail/A 62519-2023 tillsynsbegäran mail.docx", "A 62519-2023")</f>
        <v/>
      </c>
      <c r="AE8">
        <f>HYPERLINK("https://klasma.github.io/Logging_0767/fåglar/A 62519-2023 prioriterade fågelarter.docx", "A 62519-2023")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46323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46323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46323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Västlig hakmossa</t>
        </is>
      </c>
      <c r="W11">
        <f>HYPERLINK("https://klasma.github.io/Logging_0767/artfynd/A 7501-2024 artfynd.xlsx", "A 7501-2024")</f>
        <v/>
      </c>
      <c r="X11">
        <f>HYPERLINK("https://klasma.github.io/Logging_0767/kartor/A 7501-2024 karta.png", "A 7501-2024")</f>
        <v/>
      </c>
      <c r="Y11">
        <f>HYPERLINK("https://klasma.github.io/Logging_0767/kartor_geotiff/A 7501-2024 georefererad karta.tif", "A 7501-2024")</f>
        <v/>
      </c>
      <c r="AA11">
        <f>HYPERLINK("https://klasma.github.io/Logging_0767/klagomål/A 7501-2024 FSC-klagomål.docx", "A 7501-2024")</f>
        <v/>
      </c>
      <c r="AB11">
        <f>HYPERLINK("https://klasma.github.io/Logging_0767/klagomålsmail/A 7501-2024 FSC-klagomål mail.docx", "A 7501-2024")</f>
        <v/>
      </c>
      <c r="AC11">
        <f>HYPERLINK("https://klasma.github.io/Logging_0767/tillsyn/A 7501-2024 tillsynsbegäran.docx", "A 7501-2024")</f>
        <v/>
      </c>
      <c r="AD11">
        <f>HYPERLINK("https://klasma.github.io/Logging_0767/tillsynsmail/A 7501-2024 tillsynsbegäran mail.docx", "A 7501-2024")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46323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46323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46323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46323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46323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46323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46323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46323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46323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46323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46323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36065-2022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44802</v>
      </c>
      <c r="E23" s="1" t="n">
        <v>46323</v>
      </c>
      <c r="F23" t="inlineStr">
        <is>
          <t>KRONOBERGS LÄN</t>
        </is>
      </c>
      <c r="G23" t="inlineStr">
        <is>
          <t>MARKARYD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46323</v>
      </c>
      <c r="F24" t="inlineStr">
        <is>
          <t>KRONOBERGS LÄN</t>
        </is>
      </c>
      <c r="G24" t="inlineStr">
        <is>
          <t>MARKARYD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44859</v>
      </c>
      <c r="E26" s="1" t="n">
        <v>46323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46323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12447-2022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44638</v>
      </c>
      <c r="E28" s="1" t="n">
        <v>46323</v>
      </c>
      <c r="F28" t="inlineStr">
        <is>
          <t>KRONOBERGS LÄN</t>
        </is>
      </c>
      <c r="G28" t="inlineStr">
        <is>
          <t>MARKARYD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46323</v>
      </c>
      <c r="F29" t="inlineStr">
        <is>
          <t>KRONOBERGS LÄN</t>
        </is>
      </c>
      <c r="G29" t="inlineStr">
        <is>
          <t>MARKARYD</t>
        </is>
      </c>
      <c r="I29" t="n">
        <v>8.4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46323</v>
      </c>
      <c r="F30" t="inlineStr">
        <is>
          <t>KRONOBERGS LÄN</t>
        </is>
      </c>
      <c r="G30" t="inlineStr">
        <is>
          <t>MARKARYD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46323</v>
      </c>
      <c r="F31" t="inlineStr">
        <is>
          <t>KRONOBERGS LÄN</t>
        </is>
      </c>
      <c r="G31" t="inlineStr">
        <is>
          <t>MARKARYD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46323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46323</v>
      </c>
      <c r="F33" t="inlineStr">
        <is>
          <t>KRONOBERGS LÄN</t>
        </is>
      </c>
      <c r="G33" t="inlineStr">
        <is>
          <t>MARKARYD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7935-2025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45707</v>
      </c>
      <c r="E34" s="1" t="n">
        <v>46323</v>
      </c>
      <c r="F34" t="inlineStr">
        <is>
          <t>KRONOBERGS LÄN</t>
        </is>
      </c>
      <c r="G34" t="inlineStr">
        <is>
          <t>MARKARYD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46323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44848</v>
      </c>
      <c r="E36" s="1" t="n">
        <v>46323</v>
      </c>
      <c r="F36" t="inlineStr">
        <is>
          <t>KRONOBERGS LÄN</t>
        </is>
      </c>
      <c r="G36" t="inlineStr">
        <is>
          <t>MARKARYD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46323</v>
      </c>
      <c r="F37" t="inlineStr">
        <is>
          <t>KRONOBERGS LÄN</t>
        </is>
      </c>
      <c r="G37" t="inlineStr">
        <is>
          <t>MARKARYD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46323</v>
      </c>
      <c r="F38" t="inlineStr">
        <is>
          <t>KRONOBERGS LÄN</t>
        </is>
      </c>
      <c r="G38" t="inlineStr">
        <is>
          <t>MARKARYD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20658-2022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46323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46323</v>
      </c>
      <c r="F40" t="inlineStr">
        <is>
          <t>KRONOBERGS LÄN</t>
        </is>
      </c>
      <c r="G40" t="inlineStr">
        <is>
          <t>MARKARYD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46323</v>
      </c>
      <c r="F41" t="inlineStr">
        <is>
          <t>KRONOBERGS LÄN</t>
        </is>
      </c>
      <c r="G41" t="inlineStr">
        <is>
          <t>MARKARYD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46323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46323</v>
      </c>
      <c r="F43" t="inlineStr">
        <is>
          <t>KRONOBERGS LÄN</t>
        </is>
      </c>
      <c r="G43" t="inlineStr">
        <is>
          <t>MARKARYD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46323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45267</v>
      </c>
      <c r="E45" s="1" t="n">
        <v>46323</v>
      </c>
      <c r="F45" t="inlineStr">
        <is>
          <t>KRONOBERGS LÄN</t>
        </is>
      </c>
      <c r="G45" t="inlineStr">
        <is>
          <t>MARKARYD</t>
        </is>
      </c>
      <c r="I45" t="n">
        <v>13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60118-2023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45258</v>
      </c>
      <c r="E46" s="1" t="n">
        <v>46323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44587</v>
      </c>
      <c r="E47" s="1" t="n">
        <v>46323</v>
      </c>
      <c r="F47" t="inlineStr">
        <is>
          <t>KRONOBERGS LÄN</t>
        </is>
      </c>
      <c r="G47" t="inlineStr">
        <is>
          <t>MARKARYD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46323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46323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49274-2023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46323</v>
      </c>
      <c r="F50" t="inlineStr">
        <is>
          <t>KRONOBERGS LÄN</t>
        </is>
      </c>
      <c r="G50" t="inlineStr">
        <is>
          <t>MARKARYD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46323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45080</v>
      </c>
      <c r="E52" s="1" t="n">
        <v>46323</v>
      </c>
      <c r="F52" t="inlineStr">
        <is>
          <t>KRONOBERGS LÄN</t>
        </is>
      </c>
      <c r="G52" t="inlineStr">
        <is>
          <t>MARKARYD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46323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45275</v>
      </c>
      <c r="E54" s="1" t="n">
        <v>46323</v>
      </c>
      <c r="F54" t="inlineStr">
        <is>
          <t>KRONOBERGS LÄN</t>
        </is>
      </c>
      <c r="G54" t="inlineStr">
        <is>
          <t>MARKARYD</t>
        </is>
      </c>
      <c r="H54" t="inlineStr">
        <is>
          <t>Kyrkan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44980</v>
      </c>
      <c r="E55" s="1" t="n">
        <v>46323</v>
      </c>
      <c r="F55" t="inlineStr">
        <is>
          <t>KRONOBERGS LÄN</t>
        </is>
      </c>
      <c r="G55" t="inlineStr">
        <is>
          <t>MARKARYD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44988</v>
      </c>
      <c r="E56" s="1" t="n">
        <v>46323</v>
      </c>
      <c r="F56" t="inlineStr">
        <is>
          <t>KRONOBERGS LÄN</t>
        </is>
      </c>
      <c r="G56" t="inlineStr">
        <is>
          <t>MARKARYD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46323</v>
      </c>
      <c r="F57" t="inlineStr">
        <is>
          <t>KRONOBERGS LÄN</t>
        </is>
      </c>
      <c r="G57" t="inlineStr">
        <is>
          <t>MARKARYD</t>
        </is>
      </c>
      <c r="H57" t="inlineStr">
        <is>
          <t>Kommuner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19902-2025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46323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44984</v>
      </c>
      <c r="E59" s="1" t="n">
        <v>46323</v>
      </c>
      <c r="F59" t="inlineStr">
        <is>
          <t>KRONOBERGS LÄN</t>
        </is>
      </c>
      <c r="G59" t="inlineStr">
        <is>
          <t>MARKARYD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45196</v>
      </c>
      <c r="E60" s="1" t="n">
        <v>46323</v>
      </c>
      <c r="F60" t="inlineStr">
        <is>
          <t>KRONOBERGS LÄN</t>
        </is>
      </c>
      <c r="G60" t="inlineStr">
        <is>
          <t>MARKARYD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46323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45512</v>
      </c>
      <c r="E62" s="1" t="n">
        <v>46323</v>
      </c>
      <c r="F62" t="inlineStr">
        <is>
          <t>KRONOBERGS LÄN</t>
        </is>
      </c>
      <c r="G62" t="inlineStr">
        <is>
          <t>MARKARYD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46323</v>
      </c>
      <c r="F63" t="inlineStr">
        <is>
          <t>KRONOBERGS LÄN</t>
        </is>
      </c>
      <c r="G63" t="inlineStr">
        <is>
          <t>MARKARYD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44992</v>
      </c>
      <c r="E64" s="1" t="n">
        <v>46323</v>
      </c>
      <c r="F64" t="inlineStr">
        <is>
          <t>KRONOBERGS LÄN</t>
        </is>
      </c>
      <c r="G64" t="inlineStr">
        <is>
          <t>MARKARYD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45473</v>
      </c>
      <c r="E65" s="1" t="n">
        <v>46323</v>
      </c>
      <c r="F65" t="inlineStr">
        <is>
          <t>KRONOBERGS LÄN</t>
        </is>
      </c>
      <c r="G65" t="inlineStr">
        <is>
          <t>MARKARYD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45069</v>
      </c>
      <c r="E66" s="1" t="n">
        <v>46323</v>
      </c>
      <c r="F66" t="inlineStr">
        <is>
          <t>KRONOBERGS LÄN</t>
        </is>
      </c>
      <c r="G66" t="inlineStr">
        <is>
          <t>MARKARYD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46323</v>
      </c>
      <c r="F67" t="inlineStr">
        <is>
          <t>KRONOBERGS LÄN</t>
        </is>
      </c>
      <c r="G67" t="inlineStr">
        <is>
          <t>MARKARYD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44956</v>
      </c>
      <c r="E68" s="1" t="n">
        <v>46323</v>
      </c>
      <c r="F68" t="inlineStr">
        <is>
          <t>KRONOBERGS LÄN</t>
        </is>
      </c>
      <c r="G68" t="inlineStr">
        <is>
          <t>MARKARYD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45546</v>
      </c>
      <c r="E69" s="1" t="n">
        <v>46323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46323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46323</v>
      </c>
      <c r="F71" t="inlineStr">
        <is>
          <t>KRONOBERGS LÄN</t>
        </is>
      </c>
      <c r="G71" t="inlineStr">
        <is>
          <t>MARKARYD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45678</v>
      </c>
      <c r="E72" s="1" t="n">
        <v>46323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45678</v>
      </c>
      <c r="E73" s="1" t="n">
        <v>46323</v>
      </c>
      <c r="F73" t="inlineStr">
        <is>
          <t>KRONOBERGS LÄN</t>
        </is>
      </c>
      <c r="G73" t="inlineStr">
        <is>
          <t>MARKARYD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45663</v>
      </c>
      <c r="E74" s="1" t="n">
        <v>46323</v>
      </c>
      <c r="F74" t="inlineStr">
        <is>
          <t>KRONOBERGS LÄN</t>
        </is>
      </c>
      <c r="G74" t="inlineStr">
        <is>
          <t>MARKARYD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46323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53628-2024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45614</v>
      </c>
      <c r="E76" s="1" t="n">
        <v>46323</v>
      </c>
      <c r="F76" t="inlineStr">
        <is>
          <t>KRONOBERGS LÄN</t>
        </is>
      </c>
      <c r="G76" t="inlineStr">
        <is>
          <t>MARKARYD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44823</v>
      </c>
      <c r="E77" s="1" t="n">
        <v>46323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46323</v>
      </c>
      <c r="F78" t="inlineStr">
        <is>
          <t>KRONOBERGS LÄN</t>
        </is>
      </c>
      <c r="G78" t="inlineStr">
        <is>
          <t>MARKARYD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35285-2022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46323</v>
      </c>
      <c r="F79" t="inlineStr">
        <is>
          <t>KRONOBERGS LÄN</t>
        </is>
      </c>
      <c r="G79" t="inlineStr">
        <is>
          <t>MARKARYD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46323</v>
      </c>
      <c r="F80" t="inlineStr">
        <is>
          <t>KRONOBERGS LÄN</t>
        </is>
      </c>
      <c r="G80" t="inlineStr">
        <is>
          <t>MARKARYD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46323</v>
      </c>
      <c r="F81" t="inlineStr">
        <is>
          <t>KRONOBERGS LÄN</t>
        </is>
      </c>
      <c r="G81" t="inlineStr">
        <is>
          <t>MARKARYD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45428</v>
      </c>
      <c r="E82" s="1" t="n">
        <v>46323</v>
      </c>
      <c r="F82" t="inlineStr">
        <is>
          <t>KRONOBERGS LÄN</t>
        </is>
      </c>
      <c r="G82" t="inlineStr">
        <is>
          <t>MARKARYD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46323</v>
      </c>
      <c r="F83" t="inlineStr">
        <is>
          <t>KRONOBERGS LÄN</t>
        </is>
      </c>
      <c r="G83" t="inlineStr">
        <is>
          <t>MARKARYD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45407</v>
      </c>
      <c r="E84" s="1" t="n">
        <v>46323</v>
      </c>
      <c r="F84" t="inlineStr">
        <is>
          <t>KRONOBERGS LÄN</t>
        </is>
      </c>
      <c r="G84" t="inlineStr">
        <is>
          <t>MARKARYD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8501-2023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44977</v>
      </c>
      <c r="E85" s="1" t="n">
        <v>46323</v>
      </c>
      <c r="F85" t="inlineStr">
        <is>
          <t>KRONOBERGS LÄN</t>
        </is>
      </c>
      <c r="G85" t="inlineStr">
        <is>
          <t>MARKARYD</t>
        </is>
      </c>
      <c r="I85" t="n">
        <v>20.7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12343-2024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45378</v>
      </c>
      <c r="E86" s="1" t="n">
        <v>46323</v>
      </c>
      <c r="F86" t="inlineStr">
        <is>
          <t>KRONOBERGS LÄN</t>
        </is>
      </c>
      <c r="G86" t="inlineStr">
        <is>
          <t>MARKARYD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46323</v>
      </c>
      <c r="F87" t="inlineStr">
        <is>
          <t>KRONOBERGS LÄN</t>
        </is>
      </c>
      <c r="G87" t="inlineStr">
        <is>
          <t>MARKARYD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46323</v>
      </c>
      <c r="F88" t="inlineStr">
        <is>
          <t>KRONOBERGS LÄN</t>
        </is>
      </c>
      <c r="G88" t="inlineStr">
        <is>
          <t>MARKARYD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45092</v>
      </c>
      <c r="E89" s="1" t="n">
        <v>46323</v>
      </c>
      <c r="F89" t="inlineStr">
        <is>
          <t>KRONOBERGS LÄN</t>
        </is>
      </c>
      <c r="G89" t="inlineStr">
        <is>
          <t>MARKARYD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45476</v>
      </c>
      <c r="E90" s="1" t="n">
        <v>46323</v>
      </c>
      <c r="F90" t="inlineStr">
        <is>
          <t>KRONOBERGS LÄN</t>
        </is>
      </c>
      <c r="G90" t="inlineStr">
        <is>
          <t>MARKARYD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46323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46323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46323</v>
      </c>
      <c r="F93" t="inlineStr">
        <is>
          <t>KRONOBERGS LÄN</t>
        </is>
      </c>
      <c r="G93" t="inlineStr">
        <is>
          <t>MARKARYD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46323</v>
      </c>
      <c r="F94" t="inlineStr">
        <is>
          <t>KRONOBERGS LÄN</t>
        </is>
      </c>
      <c r="G94" t="inlineStr">
        <is>
          <t>MARKARYD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46323</v>
      </c>
      <c r="F95" t="inlineStr">
        <is>
          <t>KRONOBERGS LÄN</t>
        </is>
      </c>
      <c r="G95" t="inlineStr">
        <is>
          <t>MARKARYD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46323</v>
      </c>
      <c r="F96" t="inlineStr">
        <is>
          <t>KRONOBERGS LÄN</t>
        </is>
      </c>
      <c r="G96" t="inlineStr">
        <is>
          <t>MARKARYD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46323</v>
      </c>
      <c r="F97" t="inlineStr">
        <is>
          <t>KRONOBERGS LÄN</t>
        </is>
      </c>
      <c r="G97" t="inlineStr">
        <is>
          <t>MARKARYD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46323</v>
      </c>
      <c r="F98" t="inlineStr">
        <is>
          <t>KRONOBERGS LÄN</t>
        </is>
      </c>
      <c r="G98" t="inlineStr">
        <is>
          <t>MARKARYD</t>
        </is>
      </c>
      <c r="H98" t="inlineStr">
        <is>
          <t>Övriga Aktiebolag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46323</v>
      </c>
      <c r="F99" t="inlineStr">
        <is>
          <t>KRONOBERGS LÄN</t>
        </is>
      </c>
      <c r="G99" t="inlineStr">
        <is>
          <t>MARKARYD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46323</v>
      </c>
      <c r="F100" t="inlineStr">
        <is>
          <t>KRONOBERGS LÄN</t>
        </is>
      </c>
      <c r="G100" t="inlineStr">
        <is>
          <t>MARKARYD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45275</v>
      </c>
      <c r="E101" s="1" t="n">
        <v>46323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11781-2023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44994</v>
      </c>
      <c r="E102" s="1" t="n">
        <v>46323</v>
      </c>
      <c r="F102" t="inlineStr">
        <is>
          <t>KRONOBERGS LÄN</t>
        </is>
      </c>
      <c r="G102" t="inlineStr">
        <is>
          <t>MARKARYD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46323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46323</v>
      </c>
      <c r="F104" t="inlineStr">
        <is>
          <t>KRONOBERGS LÄN</t>
        </is>
      </c>
      <c r="G104" t="inlineStr">
        <is>
          <t>MARKARYD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46323</v>
      </c>
      <c r="F105" t="inlineStr">
        <is>
          <t>KRONOBERGS LÄN</t>
        </is>
      </c>
      <c r="G105" t="inlineStr">
        <is>
          <t>MARKARYD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46323</v>
      </c>
      <c r="F106" t="inlineStr">
        <is>
          <t>KRONOBERGS LÄN</t>
        </is>
      </c>
      <c r="G106" t="inlineStr">
        <is>
          <t>MARKARYD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46323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46323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44848</v>
      </c>
      <c r="E109" s="1" t="n">
        <v>46323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46323</v>
      </c>
      <c r="F110" t="inlineStr">
        <is>
          <t>KRONOBERGS LÄN</t>
        </is>
      </c>
      <c r="G110" t="inlineStr">
        <is>
          <t>MARKARYD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46323</v>
      </c>
      <c r="F111" t="inlineStr">
        <is>
          <t>KRONOBERGS LÄN</t>
        </is>
      </c>
      <c r="G111" t="inlineStr">
        <is>
          <t>MARKARYD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46323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44999</v>
      </c>
      <c r="E113" s="1" t="n">
        <v>46323</v>
      </c>
      <c r="F113" t="inlineStr">
        <is>
          <t>KRONOBERGS LÄN</t>
        </is>
      </c>
      <c r="G113" t="inlineStr">
        <is>
          <t>MARKARYD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46323</v>
      </c>
      <c r="F114" t="inlineStr">
        <is>
          <t>KRONOBERGS LÄN</t>
        </is>
      </c>
      <c r="G114" t="inlineStr">
        <is>
          <t>MARKARYD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45077</v>
      </c>
      <c r="E115" s="1" t="n">
        <v>46323</v>
      </c>
      <c r="F115" t="inlineStr">
        <is>
          <t>KRONOBERGS LÄN</t>
        </is>
      </c>
      <c r="G115" t="inlineStr">
        <is>
          <t>MARKARYD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45230</v>
      </c>
      <c r="E116" s="1" t="n">
        <v>46323</v>
      </c>
      <c r="F116" t="inlineStr">
        <is>
          <t>KRONOBERGS LÄN</t>
        </is>
      </c>
      <c r="G116" t="inlineStr">
        <is>
          <t>MARKARYD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46323</v>
      </c>
      <c r="F117" t="inlineStr">
        <is>
          <t>KRONOBERGS LÄN</t>
        </is>
      </c>
      <c r="G117" t="inlineStr">
        <is>
          <t>MARKARYD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46323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44970</v>
      </c>
      <c r="E119" s="1" t="n">
        <v>46323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46323</v>
      </c>
      <c r="F120" t="inlineStr">
        <is>
          <t>KRONOBERGS LÄN</t>
        </is>
      </c>
      <c r="G120" t="inlineStr">
        <is>
          <t>MARKARYD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46323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44835</v>
      </c>
      <c r="E122" s="1" t="n">
        <v>46323</v>
      </c>
      <c r="F122" t="inlineStr">
        <is>
          <t>KRONOBERGS LÄN</t>
        </is>
      </c>
      <c r="G122" t="inlineStr">
        <is>
          <t>MARKARYD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44498</v>
      </c>
      <c r="E123" s="1" t="n">
        <v>46323</v>
      </c>
      <c r="F123" t="inlineStr">
        <is>
          <t>KRONOBERGS LÄN</t>
        </is>
      </c>
      <c r="G123" t="inlineStr">
        <is>
          <t>MARKARYD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46323</v>
      </c>
      <c r="F124" t="inlineStr">
        <is>
          <t>KRONOBERGS LÄN</t>
        </is>
      </c>
      <c r="G124" t="inlineStr">
        <is>
          <t>MARKARYD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46323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44915</v>
      </c>
      <c r="E126" s="1" t="n">
        <v>46323</v>
      </c>
      <c r="F126" t="inlineStr">
        <is>
          <t>KRONOBERGS LÄN</t>
        </is>
      </c>
      <c r="G126" t="inlineStr">
        <is>
          <t>MARKARYD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46323</v>
      </c>
      <c r="F127" t="inlineStr">
        <is>
          <t>KRONOBERGS LÄN</t>
        </is>
      </c>
      <c r="G127" t="inlineStr">
        <is>
          <t>MARKARYD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45085</v>
      </c>
      <c r="E128" s="1" t="n">
        <v>46323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46323</v>
      </c>
      <c r="F129" t="inlineStr">
        <is>
          <t>KRONOBERGS LÄN</t>
        </is>
      </c>
      <c r="G129" t="inlineStr">
        <is>
          <t>MARKARYD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44579</v>
      </c>
      <c r="E130" s="1" t="n">
        <v>46323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46323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46323</v>
      </c>
      <c r="F132" t="inlineStr">
        <is>
          <t>KRONOBERGS LÄN</t>
        </is>
      </c>
      <c r="G132" t="inlineStr">
        <is>
          <t>MARKARYD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46323</v>
      </c>
      <c r="F133" t="inlineStr">
        <is>
          <t>KRONOBERGS LÄN</t>
        </is>
      </c>
      <c r="G133" t="inlineStr">
        <is>
          <t>MARKARYD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44498</v>
      </c>
      <c r="E134" s="1" t="n">
        <v>46323</v>
      </c>
      <c r="F134" t="inlineStr">
        <is>
          <t>KRONOBERGS LÄN</t>
        </is>
      </c>
      <c r="G134" t="inlineStr">
        <is>
          <t>MARKARYD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46323</v>
      </c>
      <c r="F135" t="inlineStr">
        <is>
          <t>KRONOBERGS LÄN</t>
        </is>
      </c>
      <c r="G135" t="inlineStr">
        <is>
          <t>MARKARYD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44587</v>
      </c>
      <c r="E136" s="1" t="n">
        <v>46323</v>
      </c>
      <c r="F136" t="inlineStr">
        <is>
          <t>KRONOBERGS LÄN</t>
        </is>
      </c>
      <c r="G136" t="inlineStr">
        <is>
          <t>MARKARYD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46323</v>
      </c>
      <c r="F137" t="inlineStr">
        <is>
          <t>KRONOBERGS LÄN</t>
        </is>
      </c>
      <c r="G137" t="inlineStr">
        <is>
          <t>MARKARYD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45361</v>
      </c>
      <c r="E138" s="1" t="n">
        <v>46323</v>
      </c>
      <c r="F138" t="inlineStr">
        <is>
          <t>KRONOBERGS LÄN</t>
        </is>
      </c>
      <c r="G138" t="inlineStr">
        <is>
          <t>MARKARYD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46323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45942</v>
      </c>
      <c r="E140" s="1" t="n">
        <v>46323</v>
      </c>
      <c r="F140" t="inlineStr">
        <is>
          <t>KRONOBERGS LÄN</t>
        </is>
      </c>
      <c r="G140" t="inlineStr">
        <is>
          <t>MARKARYD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45556</v>
      </c>
      <c r="E141" s="1" t="n">
        <v>46323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46323</v>
      </c>
      <c r="F142" t="inlineStr">
        <is>
          <t>KRONOBERGS LÄN</t>
        </is>
      </c>
      <c r="G142" t="inlineStr">
        <is>
          <t>MARKARYD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46323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45783</v>
      </c>
      <c r="E144" s="1" t="n">
        <v>46323</v>
      </c>
      <c r="F144" t="inlineStr">
        <is>
          <t>KRONOBERGS LÄN</t>
        </is>
      </c>
      <c r="G144" t="inlineStr">
        <is>
          <t>MARKARYD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46323</v>
      </c>
      <c r="F145" t="inlineStr">
        <is>
          <t>KRONOBERGS LÄN</t>
        </is>
      </c>
      <c r="G145" t="inlineStr">
        <is>
          <t>MARKARYD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46323</v>
      </c>
      <c r="F146" t="inlineStr">
        <is>
          <t>KRONOBERGS LÄN</t>
        </is>
      </c>
      <c r="G146" t="inlineStr">
        <is>
          <t>MARKARYD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46323</v>
      </c>
      <c r="F147" t="inlineStr">
        <is>
          <t>KRONOBERGS LÄN</t>
        </is>
      </c>
      <c r="G147" t="inlineStr">
        <is>
          <t>MARKARYD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45063</v>
      </c>
      <c r="E148" s="1" t="n">
        <v>46323</v>
      </c>
      <c r="F148" t="inlineStr">
        <is>
          <t>KRONOBERGS LÄN</t>
        </is>
      </c>
      <c r="G148" t="inlineStr">
        <is>
          <t>MARKARYD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46323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46323</v>
      </c>
      <c r="F150" t="inlineStr">
        <is>
          <t>KRONOBERGS LÄN</t>
        </is>
      </c>
      <c r="G150" t="inlineStr">
        <is>
          <t>MARKARYD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46323</v>
      </c>
      <c r="F151" t="inlineStr">
        <is>
          <t>KRONOBERGS LÄN</t>
        </is>
      </c>
      <c r="G151" t="inlineStr">
        <is>
          <t>MARKARYD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74006-2021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44557</v>
      </c>
      <c r="E152" s="1" t="n">
        <v>46323</v>
      </c>
      <c r="F152" t="inlineStr">
        <is>
          <t>KRONOBERGS LÄN</t>
        </is>
      </c>
      <c r="G152" t="inlineStr">
        <is>
          <t>MARKARYD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46323</v>
      </c>
      <c r="F153" t="inlineStr">
        <is>
          <t>KRONOBERGS LÄN</t>
        </is>
      </c>
      <c r="G153" t="inlineStr">
        <is>
          <t>MARKARYD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45127</v>
      </c>
      <c r="E154" s="1" t="n">
        <v>46323</v>
      </c>
      <c r="F154" t="inlineStr">
        <is>
          <t>KRONOBERGS LÄN</t>
        </is>
      </c>
      <c r="G154" t="inlineStr">
        <is>
          <t>MARKARYD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46323</v>
      </c>
      <c r="F155" t="inlineStr">
        <is>
          <t>KRONOBERGS LÄN</t>
        </is>
      </c>
      <c r="G155" t="inlineStr">
        <is>
          <t>MARKARYD</t>
        </is>
      </c>
      <c r="I155" t="n">
        <v>13.2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16022-2023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45026</v>
      </c>
      <c r="E156" s="1" t="n">
        <v>46323</v>
      </c>
      <c r="F156" t="inlineStr">
        <is>
          <t>KRONOBERGS LÄN</t>
        </is>
      </c>
      <c r="G156" t="inlineStr">
        <is>
          <t>MARKARYD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45687</v>
      </c>
      <c r="E157" s="1" t="n">
        <v>46323</v>
      </c>
      <c r="F157" t="inlineStr">
        <is>
          <t>KRONOBERGS LÄN</t>
        </is>
      </c>
      <c r="G157" t="inlineStr">
        <is>
          <t>MARKARYD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46323</v>
      </c>
      <c r="F158" t="inlineStr">
        <is>
          <t>KRONOBERGS LÄN</t>
        </is>
      </c>
      <c r="G158" t="inlineStr">
        <is>
          <t>MARKARYD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46323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46323</v>
      </c>
      <c r="F160" t="inlineStr">
        <is>
          <t>KRONOBERGS LÄN</t>
        </is>
      </c>
      <c r="G160" t="inlineStr">
        <is>
          <t>MARKARYD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46323</v>
      </c>
      <c r="F161" t="inlineStr">
        <is>
          <t>KRONOBERGS LÄN</t>
        </is>
      </c>
      <c r="G161" t="inlineStr">
        <is>
          <t>MARKARYD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46323</v>
      </c>
      <c r="F162" t="inlineStr">
        <is>
          <t>KRONOBERGS LÄN</t>
        </is>
      </c>
      <c r="G162" t="inlineStr">
        <is>
          <t>MARKARYD</t>
        </is>
      </c>
      <c r="H162" t="inlineStr">
        <is>
          <t>Övriga Aktiebolag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46323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46323</v>
      </c>
      <c r="F164" t="inlineStr">
        <is>
          <t>KRONOBERGS LÄN</t>
        </is>
      </c>
      <c r="G164" t="inlineStr">
        <is>
          <t>MARKARYD</t>
        </is>
      </c>
      <c r="H164" t="inlineStr">
        <is>
          <t>Övriga Aktiebolag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45306</v>
      </c>
      <c r="E165" s="1" t="n">
        <v>46323</v>
      </c>
      <c r="F165" t="inlineStr">
        <is>
          <t>KRONOBERGS LÄN</t>
        </is>
      </c>
      <c r="G165" t="inlineStr">
        <is>
          <t>MARKARYD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46323</v>
      </c>
      <c r="F166" t="inlineStr">
        <is>
          <t>KRONOBERGS LÄN</t>
        </is>
      </c>
      <c r="G166" t="inlineStr">
        <is>
          <t>MARKARYD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46323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46323</v>
      </c>
      <c r="F168" t="inlineStr">
        <is>
          <t>KRONOBERGS LÄN</t>
        </is>
      </c>
      <c r="G168" t="inlineStr">
        <is>
          <t>MARKARYD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46323</v>
      </c>
      <c r="F169" t="inlineStr">
        <is>
          <t>KRONOBERGS LÄN</t>
        </is>
      </c>
      <c r="G169" t="inlineStr">
        <is>
          <t>MARKARYD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46323</v>
      </c>
      <c r="F170" t="inlineStr">
        <is>
          <t>KRONOBERGS LÄN</t>
        </is>
      </c>
      <c r="G170" t="inlineStr">
        <is>
          <t>MARKARYD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46323</v>
      </c>
      <c r="F171" t="inlineStr">
        <is>
          <t>KRONOBERGS LÄN</t>
        </is>
      </c>
      <c r="G171" t="inlineStr">
        <is>
          <t>MARKARYD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46323</v>
      </c>
      <c r="F172" t="inlineStr">
        <is>
          <t>KRONOBERGS LÄN</t>
        </is>
      </c>
      <c r="G172" t="inlineStr">
        <is>
          <t>MARKARYD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45141</v>
      </c>
      <c r="E173" s="1" t="n">
        <v>46323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46323</v>
      </c>
      <c r="F174" t="inlineStr">
        <is>
          <t>KRONOBERGS LÄN</t>
        </is>
      </c>
      <c r="G174" t="inlineStr">
        <is>
          <t>MARKARYD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44984</v>
      </c>
      <c r="E175" s="1" t="n">
        <v>46323</v>
      </c>
      <c r="F175" t="inlineStr">
        <is>
          <t>KRONOBERGS LÄN</t>
        </is>
      </c>
      <c r="G175" t="inlineStr">
        <is>
          <t>MARKARYD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8494-2023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44977</v>
      </c>
      <c r="E176" s="1" t="n">
        <v>46323</v>
      </c>
      <c r="F176" t="inlineStr">
        <is>
          <t>KRONOBERGS LÄN</t>
        </is>
      </c>
      <c r="G176" t="inlineStr">
        <is>
          <t>MARKARYD</t>
        </is>
      </c>
      <c r="I176" t="n">
        <v>13.6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46323</v>
      </c>
      <c r="F177" t="inlineStr">
        <is>
          <t>KRONOBERGS LÄN</t>
        </is>
      </c>
      <c r="G177" t="inlineStr">
        <is>
          <t>MARKARYD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45089</v>
      </c>
      <c r="E178" s="1" t="n">
        <v>46323</v>
      </c>
      <c r="F178" t="inlineStr">
        <is>
          <t>KRONOBERGS LÄN</t>
        </is>
      </c>
      <c r="G178" t="inlineStr">
        <is>
          <t>MARKARYD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65581-2021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44516</v>
      </c>
      <c r="E179" s="1" t="n">
        <v>46323</v>
      </c>
      <c r="F179" t="inlineStr">
        <is>
          <t>KRONOBERGS LÄN</t>
        </is>
      </c>
      <c r="G179" t="inlineStr">
        <is>
          <t>MARKARYD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46323</v>
      </c>
      <c r="F180" t="inlineStr">
        <is>
          <t>KRONOBERGS LÄN</t>
        </is>
      </c>
      <c r="G180" t="inlineStr">
        <is>
          <t>MARKARYD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46323</v>
      </c>
      <c r="F181" t="inlineStr">
        <is>
          <t>KRONOBERGS LÄN</t>
        </is>
      </c>
      <c r="G181" t="inlineStr">
        <is>
          <t>MARKARYD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46323</v>
      </c>
      <c r="F182" t="inlineStr">
        <is>
          <t>KRONOBERGS LÄN</t>
        </is>
      </c>
      <c r="G182" t="inlineStr">
        <is>
          <t>MARKARYD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45444</v>
      </c>
      <c r="E183" s="1" t="n">
        <v>46323</v>
      </c>
      <c r="F183" t="inlineStr">
        <is>
          <t>KRONOBERGS LÄN</t>
        </is>
      </c>
      <c r="G183" t="inlineStr">
        <is>
          <t>MARKARYD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46323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70327-2021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44536</v>
      </c>
      <c r="E185" s="1" t="n">
        <v>46323</v>
      </c>
      <c r="F185" t="inlineStr">
        <is>
          <t>KRONOBERGS LÄN</t>
        </is>
      </c>
      <c r="G185" t="inlineStr">
        <is>
          <t>MARKARYD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46323</v>
      </c>
      <c r="F186" t="inlineStr">
        <is>
          <t>KRONOBERGS LÄN</t>
        </is>
      </c>
      <c r="G186" t="inlineStr">
        <is>
          <t>MARKARYD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46013</v>
      </c>
      <c r="E187" s="1" t="n">
        <v>46323</v>
      </c>
      <c r="F187" t="inlineStr">
        <is>
          <t>KRONOBERGS LÄN</t>
        </is>
      </c>
      <c r="G187" t="inlineStr">
        <is>
          <t>MARKARYD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46323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46323</v>
      </c>
      <c r="F189" t="inlineStr">
        <is>
          <t>KRONOBERGS LÄN</t>
        </is>
      </c>
      <c r="G189" t="inlineStr">
        <is>
          <t>MARKARYD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44581</v>
      </c>
      <c r="E190" s="1" t="n">
        <v>46323</v>
      </c>
      <c r="F190" t="inlineStr">
        <is>
          <t>KRONOBERGS LÄN</t>
        </is>
      </c>
      <c r="G190" t="inlineStr">
        <is>
          <t>MARKARYD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46323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46021</v>
      </c>
      <c r="E192" s="1" t="n">
        <v>46323</v>
      </c>
      <c r="F192" t="inlineStr">
        <is>
          <t>KRONOBERGS LÄN</t>
        </is>
      </c>
      <c r="G192" t="inlineStr">
        <is>
          <t>MARKARYD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46323</v>
      </c>
      <c r="F193" t="inlineStr">
        <is>
          <t>KRONOBERGS LÄN</t>
        </is>
      </c>
      <c r="G193" t="inlineStr">
        <is>
          <t>MARKARYD</t>
        </is>
      </c>
      <c r="H193" t="inlineStr">
        <is>
          <t>Kyrkan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45232</v>
      </c>
      <c r="E194" s="1" t="n">
        <v>46323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46034</v>
      </c>
      <c r="E195" s="1" t="n">
        <v>46323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46323</v>
      </c>
      <c r="F196" t="inlineStr">
        <is>
          <t>KRONOBERGS LÄN</t>
        </is>
      </c>
      <c r="G196" t="inlineStr">
        <is>
          <t>MARKARYD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25957-2023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45090</v>
      </c>
      <c r="E197" s="1" t="n">
        <v>46323</v>
      </c>
      <c r="F197" t="inlineStr">
        <is>
          <t>KRONOBERGS LÄN</t>
        </is>
      </c>
      <c r="G197" t="inlineStr">
        <is>
          <t>MARKARYD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46323</v>
      </c>
      <c r="F198" t="inlineStr">
        <is>
          <t>KRONOBERGS LÄN</t>
        </is>
      </c>
      <c r="G198" t="inlineStr">
        <is>
          <t>MARKARYD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46323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45117</v>
      </c>
      <c r="E200" s="1" t="n">
        <v>46323</v>
      </c>
      <c r="F200" t="inlineStr">
        <is>
          <t>KRONOBERGS LÄN</t>
        </is>
      </c>
      <c r="G200" t="inlineStr">
        <is>
          <t>MARKARYD</t>
        </is>
      </c>
      <c r="H200" t="inlineStr">
        <is>
          <t>Naturvårdsverket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45434</v>
      </c>
      <c r="E201" s="1" t="n">
        <v>46323</v>
      </c>
      <c r="F201" t="inlineStr">
        <is>
          <t>KRONOBERGS LÄN</t>
        </is>
      </c>
      <c r="G201" t="inlineStr">
        <is>
          <t>MARKARYD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46323</v>
      </c>
      <c r="F202" t="inlineStr">
        <is>
          <t>KRONOBERGS LÄN</t>
        </is>
      </c>
      <c r="G202" t="inlineStr">
        <is>
          <t>MARKARYD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46323</v>
      </c>
      <c r="F203" t="inlineStr">
        <is>
          <t>KRONOBERGS LÄN</t>
        </is>
      </c>
      <c r="G203" t="inlineStr">
        <is>
          <t>MARKARYD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45141</v>
      </c>
      <c r="E204" s="1" t="n">
        <v>46323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44677</v>
      </c>
      <c r="E205" s="1" t="n">
        <v>46323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45080</v>
      </c>
      <c r="E206" s="1" t="n">
        <v>46323</v>
      </c>
      <c r="F206" t="inlineStr">
        <is>
          <t>KRONOBERGS LÄN</t>
        </is>
      </c>
      <c r="G206" t="inlineStr">
        <is>
          <t>MARKARYD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46323</v>
      </c>
      <c r="F207" t="inlineStr">
        <is>
          <t>KRONOBERGS LÄN</t>
        </is>
      </c>
      <c r="G207" t="inlineStr">
        <is>
          <t>MARKARYD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46323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46323</v>
      </c>
      <c r="F209" t="inlineStr">
        <is>
          <t>KRONOBERGS LÄN</t>
        </is>
      </c>
      <c r="G209" t="inlineStr">
        <is>
          <t>MARKARYD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46323</v>
      </c>
      <c r="F210" t="inlineStr">
        <is>
          <t>KRONOBERGS LÄN</t>
        </is>
      </c>
      <c r="G210" t="inlineStr">
        <is>
          <t>MARKARYD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45160</v>
      </c>
      <c r="E211" s="1" t="n">
        <v>46323</v>
      </c>
      <c r="F211" t="inlineStr">
        <is>
          <t>KRONOBERGS LÄN</t>
        </is>
      </c>
      <c r="G211" t="inlineStr">
        <is>
          <t>MARKARYD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46323</v>
      </c>
      <c r="F212" t="inlineStr">
        <is>
          <t>KRONOBERGS LÄN</t>
        </is>
      </c>
      <c r="G212" t="inlineStr">
        <is>
          <t>MARKARYD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45681</v>
      </c>
      <c r="E213" s="1" t="n">
        <v>46323</v>
      </c>
      <c r="F213" t="inlineStr">
        <is>
          <t>KRONOBERGS LÄN</t>
        </is>
      </c>
      <c r="G213" t="inlineStr">
        <is>
          <t>MARKARYD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45400</v>
      </c>
      <c r="E214" s="1" t="n">
        <v>46323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46063</v>
      </c>
      <c r="E215" s="1" t="n">
        <v>46323</v>
      </c>
      <c r="F215" t="inlineStr">
        <is>
          <t>KRONOBERGS LÄN</t>
        </is>
      </c>
      <c r="G215" t="inlineStr">
        <is>
          <t>MARKARYD</t>
        </is>
      </c>
      <c r="I215" t="n">
        <v>16.3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46323</v>
      </c>
      <c r="F216" t="inlineStr">
        <is>
          <t>KRONOBERGS LÄN</t>
        </is>
      </c>
      <c r="G216" t="inlineStr">
        <is>
          <t>MARKARYD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46323</v>
      </c>
      <c r="F217" t="inlineStr">
        <is>
          <t>KRONOBERGS LÄN</t>
        </is>
      </c>
      <c r="G217" t="inlineStr">
        <is>
          <t>MARKARYD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46323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46282</v>
      </c>
      <c r="E219" s="1" t="n">
        <v>46323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46240</v>
      </c>
      <c r="E220" s="1" t="n">
        <v>46323</v>
      </c>
      <c r="F220" t="inlineStr">
        <is>
          <t>KRONOBERGS LÄN</t>
        </is>
      </c>
      <c r="G220" t="inlineStr">
        <is>
          <t>MARKARYD</t>
        </is>
      </c>
      <c r="H220" t="inlineStr">
        <is>
          <t>Kyrkan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46323</v>
      </c>
      <c r="F221" t="inlineStr">
        <is>
          <t>KRONOBERGS LÄN</t>
        </is>
      </c>
      <c r="G221" t="inlineStr">
        <is>
          <t>MARKARYD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46323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46282</v>
      </c>
      <c r="E223" s="1" t="n">
        <v>46323</v>
      </c>
      <c r="F223" t="inlineStr">
        <is>
          <t>KRONOBERGS LÄN</t>
        </is>
      </c>
      <c r="G223" t="inlineStr">
        <is>
          <t>MARKARYD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46240</v>
      </c>
      <c r="E224" s="1" t="n">
        <v>46323</v>
      </c>
      <c r="F224" t="inlineStr">
        <is>
          <t>KRONOBERGS LÄN</t>
        </is>
      </c>
      <c r="G224" t="inlineStr">
        <is>
          <t>MARKARYD</t>
        </is>
      </c>
      <c r="H224" t="inlineStr">
        <is>
          <t>Kyrkan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46323</v>
      </c>
      <c r="F225" t="inlineStr">
        <is>
          <t>KRONOBERGS LÄN</t>
        </is>
      </c>
      <c r="G225" t="inlineStr">
        <is>
          <t>MARKARYD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46281</v>
      </c>
      <c r="E226" s="1" t="n">
        <v>46323</v>
      </c>
      <c r="F226" t="inlineStr">
        <is>
          <t>KRONOBERGS LÄN</t>
        </is>
      </c>
      <c r="G226" t="inlineStr">
        <is>
          <t>MARKARYD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33882-2022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44790</v>
      </c>
      <c r="E227" s="1" t="n">
        <v>46323</v>
      </c>
      <c r="F227" t="inlineStr">
        <is>
          <t>KRONOBERGS LÄN</t>
        </is>
      </c>
      <c r="G227" t="inlineStr">
        <is>
          <t>MARKARYD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46323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46323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46323</v>
      </c>
      <c r="F230" t="inlineStr">
        <is>
          <t>KRONOBERGS LÄN</t>
        </is>
      </c>
      <c r="G230" t="inlineStr">
        <is>
          <t>MARKARYD</t>
        </is>
      </c>
      <c r="H230" t="inlineStr">
        <is>
          <t>Sveaskog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46244</v>
      </c>
      <c r="E231" s="1" t="n">
        <v>46323</v>
      </c>
      <c r="F231" t="inlineStr">
        <is>
          <t>KRONOBERGS LÄN</t>
        </is>
      </c>
      <c r="G231" t="inlineStr">
        <is>
          <t>MARKARYD</t>
        </is>
      </c>
      <c r="H231" t="inlineStr">
        <is>
          <t>Kyrkan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46323</v>
      </c>
      <c r="F232" t="inlineStr">
        <is>
          <t>KRONOBERGS LÄN</t>
        </is>
      </c>
      <c r="G232" t="inlineStr">
        <is>
          <t>MARKARYD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64776-2023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46323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45296</v>
      </c>
      <c r="E234" s="1" t="n">
        <v>46323</v>
      </c>
      <c r="F234" t="inlineStr">
        <is>
          <t>KRONOBERGS LÄN</t>
        </is>
      </c>
      <c r="G234" t="inlineStr">
        <is>
          <t>MARKARYD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46323</v>
      </c>
      <c r="F235" t="inlineStr">
        <is>
          <t>KRONOBERGS LÄN</t>
        </is>
      </c>
      <c r="G235" t="inlineStr">
        <is>
          <t>MARKARYD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46323</v>
      </c>
      <c r="F236" t="inlineStr">
        <is>
          <t>KRONOBERGS LÄN</t>
        </is>
      </c>
      <c r="G236" t="inlineStr">
        <is>
          <t>MARKARYD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46323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46323</v>
      </c>
      <c r="F238" t="inlineStr">
        <is>
          <t>KRONOBERGS LÄN</t>
        </is>
      </c>
      <c r="G238" t="inlineStr">
        <is>
          <t>MARKARYD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45257</v>
      </c>
      <c r="E239" s="1" t="n">
        <v>46323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46323</v>
      </c>
      <c r="F240" t="inlineStr">
        <is>
          <t>KRONOBERGS LÄN</t>
        </is>
      </c>
      <c r="G240" t="inlineStr">
        <is>
          <t>MARKARYD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46323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46323</v>
      </c>
      <c r="F242" t="inlineStr">
        <is>
          <t>KRONOBERGS LÄN</t>
        </is>
      </c>
      <c r="G242" t="inlineStr">
        <is>
          <t>MARKARYD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46323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46323</v>
      </c>
      <c r="F244" t="inlineStr">
        <is>
          <t>KRONOBERGS LÄN</t>
        </is>
      </c>
      <c r="G244" t="inlineStr">
        <is>
          <t>MARKARYD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46323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46323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46290</v>
      </c>
      <c r="E247" s="1" t="n">
        <v>46323</v>
      </c>
      <c r="F247" t="inlineStr">
        <is>
          <t>KRONOBERGS LÄN</t>
        </is>
      </c>
      <c r="G247" t="inlineStr">
        <is>
          <t>MARKARYD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46323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46090</v>
      </c>
      <c r="E249" s="1" t="n">
        <v>46323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46323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46323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46323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45173</v>
      </c>
      <c r="E253" s="1" t="n">
        <v>46323</v>
      </c>
      <c r="F253" t="inlineStr">
        <is>
          <t>KRONOBERGS LÄN</t>
        </is>
      </c>
      <c r="G253" t="inlineStr">
        <is>
          <t>MARKARYD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46323</v>
      </c>
      <c r="F254" t="inlineStr">
        <is>
          <t>KRONOBERGS LÄN</t>
        </is>
      </c>
      <c r="G254" t="inlineStr">
        <is>
          <t>MARKARYD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46323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45195</v>
      </c>
      <c r="E256" s="1" t="n">
        <v>46323</v>
      </c>
      <c r="F256" t="inlineStr">
        <is>
          <t>KRONOBERGS LÄN</t>
        </is>
      </c>
      <c r="G256" t="inlineStr">
        <is>
          <t>MARKARYD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46100</v>
      </c>
      <c r="E257" s="1" t="n">
        <v>46323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46100</v>
      </c>
      <c r="E258" s="1" t="n">
        <v>46323</v>
      </c>
      <c r="F258" t="inlineStr">
        <is>
          <t>KRONOBERGS LÄN</t>
        </is>
      </c>
      <c r="G258" t="inlineStr">
        <is>
          <t>MARKARYD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46323</v>
      </c>
      <c r="F259" t="inlineStr">
        <is>
          <t>KRONOBERGS LÄN</t>
        </is>
      </c>
      <c r="G259" t="inlineStr">
        <is>
          <t>MARKARYD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54819-2023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45236</v>
      </c>
      <c r="E260" s="1" t="n">
        <v>46323</v>
      </c>
      <c r="F260" t="inlineStr">
        <is>
          <t>KRONOBERGS LÄN</t>
        </is>
      </c>
      <c r="G260" t="inlineStr">
        <is>
          <t>MARKARYD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46323</v>
      </c>
      <c r="F261" t="inlineStr">
        <is>
          <t>KRONOBERGS LÄN</t>
        </is>
      </c>
      <c r="G261" t="inlineStr">
        <is>
          <t>MARKARYD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46323</v>
      </c>
      <c r="F262" t="inlineStr">
        <is>
          <t>KRONOBERGS LÄN</t>
        </is>
      </c>
      <c r="G262" t="inlineStr">
        <is>
          <t>MARKARYD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44935</v>
      </c>
      <c r="E263" s="1" t="n">
        <v>46323</v>
      </c>
      <c r="F263" t="inlineStr">
        <is>
          <t>KRONOBERGS LÄN</t>
        </is>
      </c>
      <c r="G263" t="inlineStr">
        <is>
          <t>MARKARYD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46323</v>
      </c>
      <c r="F264" t="inlineStr">
        <is>
          <t>KRONOBERGS LÄN</t>
        </is>
      </c>
      <c r="G264" t="inlineStr">
        <is>
          <t>MARKARYD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73861-2021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44553</v>
      </c>
      <c r="E265" s="1" t="n">
        <v>46323</v>
      </c>
      <c r="F265" t="inlineStr">
        <is>
          <t>KRONOBERGS LÄN</t>
        </is>
      </c>
      <c r="G265" t="inlineStr">
        <is>
          <t>MARKARYD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60457-2022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44911</v>
      </c>
      <c r="E266" s="1" t="n">
        <v>46323</v>
      </c>
      <c r="F266" t="inlineStr">
        <is>
          <t>KRONOBERGS LÄN</t>
        </is>
      </c>
      <c r="G266" t="inlineStr">
        <is>
          <t>MARKARYD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45000</v>
      </c>
      <c r="E267" s="1" t="n">
        <v>46323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46323</v>
      </c>
      <c r="F268" t="inlineStr">
        <is>
          <t>KRONOBERGS LÄN</t>
        </is>
      </c>
      <c r="G268" t="inlineStr">
        <is>
          <t>MARKARYD</t>
        </is>
      </c>
      <c r="H268" t="inlineStr">
        <is>
          <t>Kommuner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7395-2022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44606</v>
      </c>
      <c r="E269" s="1" t="n">
        <v>46323</v>
      </c>
      <c r="F269" t="inlineStr">
        <is>
          <t>KRONOBERGS LÄN</t>
        </is>
      </c>
      <c r="G269" t="inlineStr">
        <is>
          <t>MARKARYD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44581</v>
      </c>
      <c r="E270" s="1" t="n">
        <v>46323</v>
      </c>
      <c r="F270" t="inlineStr">
        <is>
          <t>KRONOBERGS LÄN</t>
        </is>
      </c>
      <c r="G270" t="inlineStr">
        <is>
          <t>MARKARYD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22671-2026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46323</v>
      </c>
      <c r="F271" t="inlineStr">
        <is>
          <t>KRONOBERGS LÄN</t>
        </is>
      </c>
      <c r="G271" t="inlineStr">
        <is>
          <t>MARKARYD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69361-2021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46323</v>
      </c>
      <c r="F272" t="inlineStr">
        <is>
          <t>KRONOBERGS LÄN</t>
        </is>
      </c>
      <c r="G272" t="inlineStr">
        <is>
          <t>MARKARYD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46323</v>
      </c>
      <c r="F273" t="inlineStr">
        <is>
          <t>KRONOBERGS LÄN</t>
        </is>
      </c>
      <c r="G273" t="inlineStr">
        <is>
          <t>MARKARYD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37557-2022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44809</v>
      </c>
      <c r="E274" s="1" t="n">
        <v>46323</v>
      </c>
      <c r="F274" t="inlineStr">
        <is>
          <t>KRONOBERGS LÄN</t>
        </is>
      </c>
      <c r="G274" t="inlineStr">
        <is>
          <t>MARKARYD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45566</v>
      </c>
      <c r="E275" s="1" t="n">
        <v>46323</v>
      </c>
      <c r="F275" t="inlineStr">
        <is>
          <t>KRONOBERGS LÄN</t>
        </is>
      </c>
      <c r="G275" t="inlineStr">
        <is>
          <t>MARKARYD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46323</v>
      </c>
      <c r="F276" t="inlineStr">
        <is>
          <t>KRONOBERGS LÄN</t>
        </is>
      </c>
      <c r="G276" t="inlineStr">
        <is>
          <t>MARKARYD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46323</v>
      </c>
      <c r="F277" t="inlineStr">
        <is>
          <t>KRONOBERGS LÄN</t>
        </is>
      </c>
      <c r="G277" t="inlineStr">
        <is>
          <t>MARKARYD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46297</v>
      </c>
      <c r="E278" s="1" t="n">
        <v>46323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64507-2023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46323</v>
      </c>
      <c r="F279" t="inlineStr">
        <is>
          <t>KRONOBERGS LÄN</t>
        </is>
      </c>
      <c r="G279" t="inlineStr">
        <is>
          <t>MARKARYD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64508-2023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46323</v>
      </c>
      <c r="F280" t="inlineStr">
        <is>
          <t>KRONOBERGS LÄN</t>
        </is>
      </c>
      <c r="G280" t="inlineStr">
        <is>
          <t>MARKARYD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40926-2026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46297</v>
      </c>
      <c r="E281" s="1" t="n">
        <v>46323</v>
      </c>
      <c r="F281" t="inlineStr">
        <is>
          <t>KRONOBERGS LÄN</t>
        </is>
      </c>
      <c r="G281" t="inlineStr">
        <is>
          <t>MARKARYD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44644</v>
      </c>
      <c r="E282" s="1" t="n">
        <v>46323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46297</v>
      </c>
      <c r="E283" s="1" t="n">
        <v>46323</v>
      </c>
      <c r="F283" t="inlineStr">
        <is>
          <t>KRONOBERGS LÄN</t>
        </is>
      </c>
      <c r="G283" t="inlineStr">
        <is>
          <t>MARKARYD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46323</v>
      </c>
      <c r="F284" t="inlineStr">
        <is>
          <t>KRONOBERGS LÄN</t>
        </is>
      </c>
      <c r="G284" t="inlineStr">
        <is>
          <t>MARKARYD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46323</v>
      </c>
      <c r="F285" t="inlineStr">
        <is>
          <t>KRONOBERGS LÄN</t>
        </is>
      </c>
      <c r="G285" t="inlineStr">
        <is>
          <t>MARKARYD</t>
        </is>
      </c>
      <c r="H285" t="inlineStr">
        <is>
          <t>Kommuner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45462</v>
      </c>
      <c r="E286" s="1" t="n">
        <v>46323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46323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44578</v>
      </c>
      <c r="E288" s="1" t="n">
        <v>46323</v>
      </c>
      <c r="F288" t="inlineStr">
        <is>
          <t>KRONOBERGS LÄN</t>
        </is>
      </c>
      <c r="G288" t="inlineStr">
        <is>
          <t>MARKARYD</t>
        </is>
      </c>
      <c r="H288" t="inlineStr">
        <is>
          <t>Övriga Aktiebolag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46300</v>
      </c>
      <c r="E289" s="1" t="n">
        <v>46323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45602</v>
      </c>
      <c r="E290" s="1" t="n">
        <v>46323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46323</v>
      </c>
      <c r="F291" t="inlineStr">
        <is>
          <t>KRONOBERGS LÄN</t>
        </is>
      </c>
      <c r="G291" t="inlineStr">
        <is>
          <t>MARKARYD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45428</v>
      </c>
      <c r="E292" s="1" t="n">
        <v>46323</v>
      </c>
      <c r="F292" t="inlineStr">
        <is>
          <t>KRONOBERGS LÄN</t>
        </is>
      </c>
      <c r="G292" t="inlineStr">
        <is>
          <t>MARKARYD</t>
        </is>
      </c>
      <c r="H292" t="inlineStr">
        <is>
          <t>Kyrkan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44616</v>
      </c>
      <c r="E293" s="1" t="n">
        <v>46323</v>
      </c>
      <c r="F293" t="inlineStr">
        <is>
          <t>KRONOBERGS LÄN</t>
        </is>
      </c>
      <c r="G293" t="inlineStr">
        <is>
          <t>MARKARYD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46323</v>
      </c>
      <c r="F294" t="inlineStr">
        <is>
          <t>KRONOBERGS LÄN</t>
        </is>
      </c>
      <c r="G294" t="inlineStr">
        <is>
          <t>MARKARYD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44760</v>
      </c>
      <c r="E295" s="1" t="n">
        <v>46323</v>
      </c>
      <c r="F295" t="inlineStr">
        <is>
          <t>KRONOBERGS LÄN</t>
        </is>
      </c>
      <c r="G295" t="inlineStr">
        <is>
          <t>MARKARYD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46323</v>
      </c>
      <c r="F296" t="inlineStr">
        <is>
          <t>KRONOBERGS LÄN</t>
        </is>
      </c>
      <c r="G296" t="inlineStr">
        <is>
          <t>MARKARYD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6556-2022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46323</v>
      </c>
      <c r="F297" t="inlineStr">
        <is>
          <t>KRONOBERGS LÄN</t>
        </is>
      </c>
      <c r="G297" t="inlineStr">
        <is>
          <t>MARKARYD</t>
        </is>
      </c>
      <c r="H297" t="inlineStr">
        <is>
          <t>Kommuner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46323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20571-2022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44700</v>
      </c>
      <c r="E299" s="1" t="n">
        <v>46323</v>
      </c>
      <c r="F299" t="inlineStr">
        <is>
          <t>KRONOBERGS LÄN</t>
        </is>
      </c>
      <c r="G299" t="inlineStr">
        <is>
          <t>MARKARYD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32384-2025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45837</v>
      </c>
      <c r="E300" s="1" t="n">
        <v>46323</v>
      </c>
      <c r="F300" t="inlineStr">
        <is>
          <t>KRONOBERGS LÄN</t>
        </is>
      </c>
      <c r="G300" t="inlineStr">
        <is>
          <t>MARKARYD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46323</v>
      </c>
      <c r="F301" t="inlineStr">
        <is>
          <t>KRONOBERGS LÄN</t>
        </is>
      </c>
      <c r="G301" t="inlineStr">
        <is>
          <t>MARKARYD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45237</v>
      </c>
      <c r="E302" s="1" t="n">
        <v>46323</v>
      </c>
      <c r="F302" t="inlineStr">
        <is>
          <t>KRONOBERGS LÄN</t>
        </is>
      </c>
      <c r="G302" t="inlineStr">
        <is>
          <t>MARKARYD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45218</v>
      </c>
      <c r="E303" s="1" t="n">
        <v>46323</v>
      </c>
      <c r="F303" t="inlineStr">
        <is>
          <t>KRONOBERGS LÄN</t>
        </is>
      </c>
      <c r="G303" t="inlineStr">
        <is>
          <t>MARKARYD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45470</v>
      </c>
      <c r="E304" s="1" t="n">
        <v>46323</v>
      </c>
      <c r="F304" t="inlineStr">
        <is>
          <t>KRONOBERGS LÄN</t>
        </is>
      </c>
      <c r="G304" t="inlineStr">
        <is>
          <t>MARKARYD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46323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44928</v>
      </c>
      <c r="E306" s="1" t="n">
        <v>46323</v>
      </c>
      <c r="F306" t="inlineStr">
        <is>
          <t>KRONOBERGS LÄN</t>
        </is>
      </c>
      <c r="G306" t="inlineStr">
        <is>
          <t>MARKARYD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46323</v>
      </c>
      <c r="F307" t="inlineStr">
        <is>
          <t>KRONOBERGS LÄN</t>
        </is>
      </c>
      <c r="G307" t="inlineStr">
        <is>
          <t>MARKARYD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44956</v>
      </c>
      <c r="E308" s="1" t="n">
        <v>46323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46323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64854-2023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45282</v>
      </c>
      <c r="E310" s="1" t="n">
        <v>46323</v>
      </c>
      <c r="F310" t="inlineStr">
        <is>
          <t>KRONOBERGS LÄN</t>
        </is>
      </c>
      <c r="G310" t="inlineStr">
        <is>
          <t>MARKARYD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46323</v>
      </c>
      <c r="F311" t="inlineStr">
        <is>
          <t>KRONOBERGS LÄN</t>
        </is>
      </c>
      <c r="G311" t="inlineStr">
        <is>
          <t>MARKARYD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45666</v>
      </c>
      <c r="E312" s="1" t="n">
        <v>46323</v>
      </c>
      <c r="F312" t="inlineStr">
        <is>
          <t>KRONOBERGS LÄN</t>
        </is>
      </c>
      <c r="G312" t="inlineStr">
        <is>
          <t>MARKARYD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46323</v>
      </c>
      <c r="F313" t="inlineStr">
        <is>
          <t>KRONOBERGS LÄN</t>
        </is>
      </c>
      <c r="G313" t="inlineStr">
        <is>
          <t>MARKARYD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46323</v>
      </c>
      <c r="F314" t="inlineStr">
        <is>
          <t>KRONOBERGS LÄN</t>
        </is>
      </c>
      <c r="G314" t="inlineStr">
        <is>
          <t>MARKARYD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46323</v>
      </c>
      <c r="F315" t="inlineStr">
        <is>
          <t>KRONOBERGS LÄN</t>
        </is>
      </c>
      <c r="G315" t="inlineStr">
        <is>
          <t>MARKARYD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46269</v>
      </c>
      <c r="E316" s="1" t="n">
        <v>46323</v>
      </c>
      <c r="F316" t="inlineStr">
        <is>
          <t>KRONOBERGS LÄN</t>
        </is>
      </c>
      <c r="G316" t="inlineStr">
        <is>
          <t>MARKARYD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46269</v>
      </c>
      <c r="E317" s="1" t="n">
        <v>46323</v>
      </c>
      <c r="F317" t="inlineStr">
        <is>
          <t>KRONOBERGS LÄN</t>
        </is>
      </c>
      <c r="G317" t="inlineStr">
        <is>
          <t>MARKARYD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45564</v>
      </c>
      <c r="E318" s="1" t="n">
        <v>46323</v>
      </c>
      <c r="F318" t="inlineStr">
        <is>
          <t>KRONOBERGS LÄN</t>
        </is>
      </c>
      <c r="G318" t="inlineStr">
        <is>
          <t>MARKARYD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39057-2024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45547</v>
      </c>
      <c r="E319" s="1" t="n">
        <v>46323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45716-2025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45923</v>
      </c>
      <c r="E320" s="1" t="n">
        <v>46323</v>
      </c>
      <c r="F320" t="inlineStr">
        <is>
          <t>KRONOBERGS LÄN</t>
        </is>
      </c>
      <c r="G320" t="inlineStr">
        <is>
          <t>MARKARYD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46323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46323</v>
      </c>
      <c r="F322" t="inlineStr">
        <is>
          <t>KRONOBERGS LÄN</t>
        </is>
      </c>
      <c r="G322" t="inlineStr">
        <is>
          <t>MARKARYD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45532</v>
      </c>
      <c r="E323" s="1" t="n">
        <v>46323</v>
      </c>
      <c r="F323" t="inlineStr">
        <is>
          <t>KRONOBERGS LÄN</t>
        </is>
      </c>
      <c r="G323" t="inlineStr">
        <is>
          <t>MARKARYD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46323</v>
      </c>
      <c r="F324" t="inlineStr">
        <is>
          <t>KRONOBERGS LÄN</t>
        </is>
      </c>
      <c r="G324" t="inlineStr">
        <is>
          <t>MARKARYD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46323</v>
      </c>
      <c r="F325" t="inlineStr">
        <is>
          <t>KRONOBERGS LÄN</t>
        </is>
      </c>
      <c r="G325" t="inlineStr">
        <is>
          <t>MARKARYD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46323</v>
      </c>
      <c r="F326" t="inlineStr">
        <is>
          <t>KRONOBERGS LÄN</t>
        </is>
      </c>
      <c r="G326" t="inlineStr">
        <is>
          <t>MARKARYD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46317</v>
      </c>
      <c r="E327" s="1" t="n">
        <v>46323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46213</v>
      </c>
      <c r="E328" s="1" t="n">
        <v>46323</v>
      </c>
      <c r="F328" t="inlineStr">
        <is>
          <t>KRONOBERGS LÄN</t>
        </is>
      </c>
      <c r="G328" t="inlineStr">
        <is>
          <t>MARKARYD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46323</v>
      </c>
      <c r="F329" t="inlineStr">
        <is>
          <t>KRONOBERGS LÄN</t>
        </is>
      </c>
      <c r="G329" t="inlineStr">
        <is>
          <t>MARKARYD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46323</v>
      </c>
      <c r="F330" t="inlineStr">
        <is>
          <t>KRONOBERGS LÄN</t>
        </is>
      </c>
      <c r="G330" t="inlineStr">
        <is>
          <t>MARKARYD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45719</v>
      </c>
      <c r="E331" s="1" t="n">
        <v>46323</v>
      </c>
      <c r="F331" t="inlineStr">
        <is>
          <t>KRONOBERGS LÄN</t>
        </is>
      </c>
      <c r="G331" t="inlineStr">
        <is>
          <t>MARKARYD</t>
        </is>
      </c>
      <c r="I331" t="n">
        <v>8.6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46323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46323</v>
      </c>
      <c r="F333" t="inlineStr">
        <is>
          <t>KRONOBERGS LÄN</t>
        </is>
      </c>
      <c r="G333" t="inlineStr">
        <is>
          <t>MARKARYD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46323</v>
      </c>
      <c r="F334" t="inlineStr">
        <is>
          <t>KRONOBERGS LÄN</t>
        </is>
      </c>
      <c r="G334" t="inlineStr">
        <is>
          <t>MARKARYD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46323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45837</v>
      </c>
      <c r="E336" s="1" t="n">
        <v>46323</v>
      </c>
      <c r="F336" t="inlineStr">
        <is>
          <t>KRONOBERGS LÄN</t>
        </is>
      </c>
      <c r="G336" t="inlineStr">
        <is>
          <t>MARKARYD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38005-2025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45882</v>
      </c>
      <c r="E337" s="1" t="n">
        <v>46323</v>
      </c>
      <c r="F337" t="inlineStr">
        <is>
          <t>KRONOBERGS LÄN</t>
        </is>
      </c>
      <c r="G337" t="inlineStr">
        <is>
          <t>MARKARYD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45769</v>
      </c>
      <c r="E338" s="1" t="n">
        <v>46323</v>
      </c>
      <c r="F338" t="inlineStr">
        <is>
          <t>KRONOBERGS LÄN</t>
        </is>
      </c>
      <c r="G338" t="inlineStr">
        <is>
          <t>MARKARYD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46323</v>
      </c>
      <c r="F339" t="inlineStr">
        <is>
          <t>KRONOBERGS LÄN</t>
        </is>
      </c>
      <c r="G339" t="inlineStr">
        <is>
          <t>MARKARYD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19240-2025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46323</v>
      </c>
      <c r="F340" t="inlineStr">
        <is>
          <t>KRONOBERGS LÄN</t>
        </is>
      </c>
      <c r="G340" t="inlineStr">
        <is>
          <t>MARKARYD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46168</v>
      </c>
      <c r="E341" s="1" t="n">
        <v>46323</v>
      </c>
      <c r="F341" t="inlineStr">
        <is>
          <t>KRONOBERGS LÄN</t>
        </is>
      </c>
      <c r="G341" t="inlineStr">
        <is>
          <t>MARKARYD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44673</v>
      </c>
      <c r="E342" s="1" t="n">
        <v>46323</v>
      </c>
      <c r="F342" t="inlineStr">
        <is>
          <t>KRONOBERGS LÄN</t>
        </is>
      </c>
      <c r="G342" t="inlineStr">
        <is>
          <t>MARKARYD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16712-2022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44673</v>
      </c>
      <c r="E343" s="1" t="n">
        <v>46323</v>
      </c>
      <c r="F343" t="inlineStr">
        <is>
          <t>KRONOBERGS LÄN</t>
        </is>
      </c>
      <c r="G343" t="inlineStr">
        <is>
          <t>MARKARYD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46323</v>
      </c>
      <c r="F344" t="inlineStr">
        <is>
          <t>KRONOBERGS LÄN</t>
        </is>
      </c>
      <c r="G344" t="inlineStr">
        <is>
          <t>MARKARYD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46323</v>
      </c>
      <c r="F345" t="inlineStr">
        <is>
          <t>KRONOBERGS LÄN</t>
        </is>
      </c>
      <c r="G345" t="inlineStr">
        <is>
          <t>MARKARYD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46323</v>
      </c>
      <c r="F346" t="inlineStr">
        <is>
          <t>KRONOBERGS LÄN</t>
        </is>
      </c>
      <c r="G346" t="inlineStr">
        <is>
          <t>MARKARYD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50927-2023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45218</v>
      </c>
      <c r="E347" s="1" t="n">
        <v>46323</v>
      </c>
      <c r="F347" t="inlineStr">
        <is>
          <t>KRONOBERGS LÄN</t>
        </is>
      </c>
      <c r="G347" t="inlineStr">
        <is>
          <t>MARKARYD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25160-2026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46175</v>
      </c>
      <c r="E348" s="1" t="n">
        <v>46323</v>
      </c>
      <c r="F348" t="inlineStr">
        <is>
          <t>KRONOBERGS LÄN</t>
        </is>
      </c>
      <c r="G348" t="inlineStr">
        <is>
          <t>MARKARYD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46323</v>
      </c>
      <c r="F349" t="inlineStr">
        <is>
          <t>KRONOBERGS LÄN</t>
        </is>
      </c>
      <c r="G349" t="inlineStr">
        <is>
          <t>MARKARYD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46323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46323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46323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46323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46323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46323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46323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46323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46323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46323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46323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46323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2026-10-28T03:13:52Z</dcterms:created>
  <dcterms:modified xmlns:dcterms="http://purl.org/dc/terms/" xmlns:xsi="http://www.w3.org/2001/XMLSchema-instance" xsi:type="dcterms:W3CDTF">2026-10-28T03:13:53Z</dcterms:modified>
</cp:coreProperties>
</file>