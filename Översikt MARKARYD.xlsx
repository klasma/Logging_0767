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46220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s="2" t="inlineStr">
        <is>
          <t>Bokvårtlav
Koralltaggsvamp
Bokfjädermossa
Guldlockmossa
Havstulpanlav
Korallblylav
Stor knopplav</t>
        </is>
      </c>
      <c r="V2">
        <f>HYPERLINK("https://klasma.github.io/Logging_0767/artfynd/S 4948-2024 artfynd.xlsx", "S 4948-2024")</f>
        <v/>
      </c>
      <c r="W2">
        <f>HYPERLINK("https://klasma.github.io/Logging_0767/kartor/S 4948-2024 karta.png", "S 4948-2024")</f>
        <v/>
      </c>
      <c r="Y2">
        <f>HYPERLINK("https://klasma.github.io/Logging_0767/klagomål/S 4948-2024 FSC-klagomål.docx", "S 4948-2024")</f>
        <v/>
      </c>
      <c r="Z2">
        <f>HYPERLINK("https://klasma.github.io/Logging_0767/klagomålsmail/S 4948-2024 FSC-klagomål mail.docx", "S 4948-2024")</f>
        <v/>
      </c>
      <c r="AA2">
        <f>HYPERLINK("https://klasma.github.io/Logging_0767/tillsyn/S 4948-2024 tillsynsbegäran.docx", "S 4948-2024")</f>
        <v/>
      </c>
      <c r="AB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46220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Blanksvart trämyra
Västlig hakmossa
Kungsfågel
Sångsvan
Huggorm</t>
        </is>
      </c>
      <c r="V3">
        <f>HYPERLINK("https://klasma.github.io/Logging_0767/artfynd/A 27619-2022 artfynd.xlsx", "A 27619-2022")</f>
        <v/>
      </c>
      <c r="W3">
        <f>HYPERLINK("https://klasma.github.io/Logging_0767/kartor/A 27619-2022 karta.png", "A 27619-2022")</f>
        <v/>
      </c>
      <c r="Y3">
        <f>HYPERLINK("https://klasma.github.io/Logging_0767/klagomål/A 27619-2022 FSC-klagomål.docx", "A 27619-2022")</f>
        <v/>
      </c>
      <c r="Z3">
        <f>HYPERLINK("https://klasma.github.io/Logging_0767/klagomålsmail/A 27619-2022 FSC-klagomål mail.docx", "A 27619-2022")</f>
        <v/>
      </c>
      <c r="AA3">
        <f>HYPERLINK("https://klasma.github.io/Logging_0767/tillsyn/A 27619-2022 tillsynsbegäran.docx", "A 27619-2022")</f>
        <v/>
      </c>
      <c r="AB3">
        <f>HYPERLINK("https://klasma.github.io/Logging_0767/tillsynsmail/A 27619-2022 tillsynsbegäran mail.docx", "A 27619-2022")</f>
        <v/>
      </c>
      <c r="AC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46220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s="2" t="inlineStr">
        <is>
          <t>Fällmossa
Havstulpanlav
Klippfrullania
Mönjevaxing
Platt fjädermossa</t>
        </is>
      </c>
      <c r="V4">
        <f>HYPERLINK("https://klasma.github.io/Logging_0767/artfynd/S 1552-2025 artfynd.xlsx", "S 1552-2025")</f>
        <v/>
      </c>
      <c r="W4">
        <f>HYPERLINK("https://klasma.github.io/Logging_0767/kartor/S 1552-2025 karta.png", "S 1552-2025")</f>
        <v/>
      </c>
      <c r="Y4">
        <f>HYPERLINK("https://klasma.github.io/Logging_0767/klagomål/S 1552-2025 FSC-klagomål.docx", "S 1552-2025")</f>
        <v/>
      </c>
      <c r="Z4">
        <f>HYPERLINK("https://klasma.github.io/Logging_0767/klagomålsmail/S 1552-2025 FSC-klagomål mail.docx", "S 1552-2025")</f>
        <v/>
      </c>
      <c r="AA4">
        <f>HYPERLINK("https://klasma.github.io/Logging_0767/tillsyn/S 1552-2025 tillsynsbegäran.docx", "S 1552-2025")</f>
        <v/>
      </c>
      <c r="AB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s="2" t="inlineStr">
        <is>
          <t>Fällmossa
Havstulpanlav
Klippfrullania</t>
        </is>
      </c>
      <c r="V5">
        <f>HYPERLINK("https://klasma.github.io/Logging_0767/artfynd/A 39507-2022 artfynd.xlsx", "A 39507-2022")</f>
        <v/>
      </c>
      <c r="W5">
        <f>HYPERLINK("https://klasma.github.io/Logging_0767/kartor/A 39507-2022 karta.png", "A 39507-2022")</f>
        <v/>
      </c>
      <c r="Y5">
        <f>HYPERLINK("https://klasma.github.io/Logging_0767/klagomål/A 39507-2022 FSC-klagomål.docx", "A 39507-2022")</f>
        <v/>
      </c>
      <c r="Z5">
        <f>HYPERLINK("https://klasma.github.io/Logging_0767/klagomålsmail/A 39507-2022 FSC-klagomål mail.docx", "A 39507-2022")</f>
        <v/>
      </c>
      <c r="AA5">
        <f>HYPERLINK("https://klasma.github.io/Logging_0767/tillsyn/A 39507-2022 tillsynsbegäran.docx", "A 39507-2022")</f>
        <v/>
      </c>
      <c r="AB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Jungfrulin
Spindelblomster</t>
        </is>
      </c>
      <c r="V6">
        <f>HYPERLINK("https://klasma.github.io/Logging_0767/artfynd/A 51195-2023 artfynd.xlsx", "A 51195-2023")</f>
        <v/>
      </c>
      <c r="W6">
        <f>HYPERLINK("https://klasma.github.io/Logging_0767/kartor/A 51195-2023 karta.png", "A 51195-2023")</f>
        <v/>
      </c>
      <c r="Y6">
        <f>HYPERLINK("https://klasma.github.io/Logging_0767/klagomål/A 51195-2023 FSC-klagomål.docx", "A 51195-2023")</f>
        <v/>
      </c>
      <c r="Z6">
        <f>HYPERLINK("https://klasma.github.io/Logging_0767/klagomålsmail/A 51195-2023 FSC-klagomål mail.docx", "A 51195-2023")</f>
        <v/>
      </c>
      <c r="AA6">
        <f>HYPERLINK("https://klasma.github.io/Logging_0767/tillsyn/A 51195-2023 tillsynsbegäran.docx", "A 51195-2023")</f>
        <v/>
      </c>
      <c r="AB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Kråka
Röd glada</t>
        </is>
      </c>
      <c r="V7">
        <f>HYPERLINK("https://klasma.github.io/Logging_0767/artfynd/A 39508-2022 artfynd.xlsx", "A 39508-2022")</f>
        <v/>
      </c>
      <c r="W7">
        <f>HYPERLINK("https://klasma.github.io/Logging_0767/kartor/A 39508-2022 karta.png", "A 39508-2022")</f>
        <v/>
      </c>
      <c r="Y7">
        <f>HYPERLINK("https://klasma.github.io/Logging_0767/klagomål/A 39508-2022 FSC-klagomål.docx", "A 39508-2022")</f>
        <v/>
      </c>
      <c r="Z7">
        <f>HYPERLINK("https://klasma.github.io/Logging_0767/klagomålsmail/A 39508-2022 FSC-klagomål mail.docx", "A 39508-2022")</f>
        <v/>
      </c>
      <c r="AA7">
        <f>HYPERLINK("https://klasma.github.io/Logging_0767/tillsyn/A 39508-2022 tillsynsbegäran.docx", "A 39508-2022")</f>
        <v/>
      </c>
      <c r="AB7">
        <f>HYPERLINK("https://klasma.github.io/Logging_0767/tillsynsmail/A 39508-2022 tillsynsbegäran mail.docx", "A 39508-2022")</f>
        <v/>
      </c>
      <c r="AC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46220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Slåttergubbe</t>
        </is>
      </c>
      <c r="V8">
        <f>HYPERLINK("https://klasma.github.io/Logging_0767/artfynd/A 4473-2023 artfynd.xlsx", "A 4473-2023")</f>
        <v/>
      </c>
      <c r="W8">
        <f>HYPERLINK("https://klasma.github.io/Logging_0767/kartor/A 4473-2023 karta.png", "A 4473-2023")</f>
        <v/>
      </c>
      <c r="Y8">
        <f>HYPERLINK("https://klasma.github.io/Logging_0767/klagomål/A 4473-2023 FSC-klagomål.docx", "A 4473-2023")</f>
        <v/>
      </c>
      <c r="Z8">
        <f>HYPERLINK("https://klasma.github.io/Logging_0767/klagomålsmail/A 4473-2023 FSC-klagomål mail.docx", "A 4473-2023")</f>
        <v/>
      </c>
      <c r="AA8">
        <f>HYPERLINK("https://klasma.github.io/Logging_0767/tillsyn/A 4473-2023 tillsynsbegäran.docx", "A 4473-2023")</f>
        <v/>
      </c>
      <c r="AB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46220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Västlig hakmossa</t>
        </is>
      </c>
      <c r="V9">
        <f>HYPERLINK("https://klasma.github.io/Logging_0767/artfynd/A 7501-2024 artfynd.xlsx", "A 7501-2024")</f>
        <v/>
      </c>
      <c r="W9">
        <f>HYPERLINK("https://klasma.github.io/Logging_0767/kartor/A 7501-2024 karta.png", "A 7501-2024")</f>
        <v/>
      </c>
      <c r="Y9">
        <f>HYPERLINK("https://klasma.github.io/Logging_0767/klagomål/A 7501-2024 FSC-klagomål.docx", "A 7501-2024")</f>
        <v/>
      </c>
      <c r="Z9">
        <f>HYPERLINK("https://klasma.github.io/Logging_0767/klagomålsmail/A 7501-2024 FSC-klagomål mail.docx", "A 7501-2024")</f>
        <v/>
      </c>
      <c r="AA9">
        <f>HYPERLINK("https://klasma.github.io/Logging_0767/tillsyn/A 7501-2024 tillsynsbegäran.docx", "A 7501-2024")</f>
        <v/>
      </c>
      <c r="AB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46220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Fläcknycklar</t>
        </is>
      </c>
      <c r="V10">
        <f>HYPERLINK("https://klasma.github.io/Logging_0767/artfynd/A 29201-2025 artfynd.xlsx", "A 29201-2025")</f>
        <v/>
      </c>
      <c r="W10">
        <f>HYPERLINK("https://klasma.github.io/Logging_0767/kartor/A 29201-2025 karta.png", "A 29201-2025")</f>
        <v/>
      </c>
      <c r="Y10">
        <f>HYPERLINK("https://klasma.github.io/Logging_0767/klagomål/A 29201-2025 FSC-klagomål.docx", "A 29201-2025")</f>
        <v/>
      </c>
      <c r="Z10">
        <f>HYPERLINK("https://klasma.github.io/Logging_0767/klagomålsmail/A 29201-2025 FSC-klagomål mail.docx", "A 29201-2025")</f>
        <v/>
      </c>
      <c r="AA10">
        <f>HYPERLINK("https://klasma.github.io/Logging_0767/tillsyn/A 29201-2025 tillsynsbegäran.docx", "A 29201-2025")</f>
        <v/>
      </c>
      <c r="AB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46220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Blåmossa</t>
        </is>
      </c>
      <c r="V11">
        <f>HYPERLINK("https://klasma.github.io/Logging_0767/artfynd/A 37243-2025 artfynd.xlsx", "A 37243-2025")</f>
        <v/>
      </c>
      <c r="W11">
        <f>HYPERLINK("https://klasma.github.io/Logging_0767/kartor/A 37243-2025 karta.png", "A 37243-2025")</f>
        <v/>
      </c>
      <c r="Y11">
        <f>HYPERLINK("https://klasma.github.io/Logging_0767/klagomål/A 37243-2025 FSC-klagomål.docx", "A 37243-2025")</f>
        <v/>
      </c>
      <c r="Z11">
        <f>HYPERLINK("https://klasma.github.io/Logging_0767/klagomålsmail/A 37243-2025 FSC-klagomål mail.docx", "A 37243-2025")</f>
        <v/>
      </c>
      <c r="AA11">
        <f>HYPERLINK("https://klasma.github.io/Logging_0767/tillsyn/A 37243-2025 tillsynsbegäran.docx", "A 37243-2025")</f>
        <v/>
      </c>
      <c r="AB11">
        <f>HYPERLINK("https://klasma.github.io/Logging_0767/tillsynsmail/A 37243-2025 tillsynsbegäran mail.docx", "A 37243-2025")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46220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Tjäder</t>
        </is>
      </c>
      <c r="V12">
        <f>HYPERLINK("https://klasma.github.io/Logging_0767/artfynd/A 62519-2023 artfynd.xlsx", "A 62519-2023")</f>
        <v/>
      </c>
      <c r="W12">
        <f>HYPERLINK("https://klasma.github.io/Logging_0767/kartor/A 62519-2023 karta.png", "A 62519-2023")</f>
        <v/>
      </c>
      <c r="Y12">
        <f>HYPERLINK("https://klasma.github.io/Logging_0767/klagomål/A 62519-2023 FSC-klagomål.docx", "A 62519-2023")</f>
        <v/>
      </c>
      <c r="Z12">
        <f>HYPERLINK("https://klasma.github.io/Logging_0767/klagomålsmail/A 62519-2023 FSC-klagomål mail.docx", "A 62519-2023")</f>
        <v/>
      </c>
      <c r="AA12">
        <f>HYPERLINK("https://klasma.github.io/Logging_0767/tillsyn/A 62519-2023 tillsynsbegäran.docx", "A 62519-2023")</f>
        <v/>
      </c>
      <c r="AB12">
        <f>HYPERLINK("https://klasma.github.io/Logging_0767/tillsynsmail/A 62519-2023 tillsynsbegäran mail.docx", "A 62519-2023")</f>
        <v/>
      </c>
      <c r="AC12">
        <f>HYPERLINK("https://klasma.github.io/Logging_0767/fåglar/A 62519-2023 prioriterade fågelarter.docx", "A 62519-2023")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46220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Borsttåg</t>
        </is>
      </c>
      <c r="V13">
        <f>HYPERLINK("https://klasma.github.io/Logging_0767/artfynd/A 12528-2026 artfynd.xlsx", "A 12528-2026")</f>
        <v/>
      </c>
      <c r="W13">
        <f>HYPERLINK("https://klasma.github.io/Logging_0767/kartor/A 12528-2026 karta.png", "A 12528-2026")</f>
        <v/>
      </c>
      <c r="Y13">
        <f>HYPERLINK("https://klasma.github.io/Logging_0767/klagomål/A 12528-2026 FSC-klagomål.docx", "A 12528-2026")</f>
        <v/>
      </c>
      <c r="Z13">
        <f>HYPERLINK("https://klasma.github.io/Logging_0767/klagomålsmail/A 12528-2026 FSC-klagomål mail.docx", "A 12528-2026")</f>
        <v/>
      </c>
      <c r="AA13">
        <f>HYPERLINK("https://klasma.github.io/Logging_0767/tillsyn/A 12528-2026 tillsynsbegäran.docx", "A 12528-2026")</f>
        <v/>
      </c>
      <c r="AB13">
        <f>HYPERLINK("https://klasma.github.io/Logging_0767/tillsynsmail/A 12528-2026 tillsynsbegäran mail.docx", "A 12528-2026")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46220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Lopplummer (aggregat)</t>
        </is>
      </c>
      <c r="V14">
        <f>HYPERLINK("https://klasma.github.io/Logging_0767/artfynd/A 73863-2021 artfynd.xlsx", "A 73863-2021")</f>
        <v/>
      </c>
      <c r="W14">
        <f>HYPERLINK("https://klasma.github.io/Logging_0767/kartor/A 73863-2021 karta.png", "A 73863-2021")</f>
        <v/>
      </c>
      <c r="Y14">
        <f>HYPERLINK("https://klasma.github.io/Logging_0767/klagomål/A 73863-2021 FSC-klagomål.docx", "A 73863-2021")</f>
        <v/>
      </c>
      <c r="Z14">
        <f>HYPERLINK("https://klasma.github.io/Logging_0767/klagomålsmail/A 73863-2021 FSC-klagomål mail.docx", "A 73863-2021")</f>
        <v/>
      </c>
      <c r="AA14">
        <f>HYPERLINK("https://klasma.github.io/Logging_0767/tillsyn/A 73863-2021 tillsynsbegäran.docx", "A 73863-2021")</f>
        <v/>
      </c>
      <c r="AB14">
        <f>HYPERLINK("https://klasma.github.io/Logging_0767/tillsynsmail/A 73863-2021 tillsynsbegäran mail.docx", "A 73863-2021")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46220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Klofibbla</t>
        </is>
      </c>
      <c r="V15">
        <f>HYPERLINK("https://klasma.github.io/Logging_0767/artfynd/A 29375-2026 artfynd.xlsx", "A 29375-2026")</f>
        <v/>
      </c>
      <c r="W15">
        <f>HYPERLINK("https://klasma.github.io/Logging_0767/kartor/A 29375-2026 karta.png", "A 29375-2026")</f>
        <v/>
      </c>
      <c r="Y15">
        <f>HYPERLINK("https://klasma.github.io/Logging_0767/klagomål/A 29375-2026 FSC-klagomål.docx", "A 29375-2026")</f>
        <v/>
      </c>
      <c r="Z15">
        <f>HYPERLINK("https://klasma.github.io/Logging_0767/klagomålsmail/A 29375-2026 FSC-klagomål mail.docx", "A 29375-2026")</f>
        <v/>
      </c>
      <c r="AA15">
        <f>HYPERLINK("https://klasma.github.io/Logging_0767/tillsyn/A 29375-2026 tillsynsbegäran.docx", "A 29375-2026")</f>
        <v/>
      </c>
      <c r="AB15">
        <f>HYPERLINK("https://klasma.github.io/Logging_0767/tillsynsmail/A 29375-2026 tillsynsbegäran mail.docx", "A 29375-2026")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46220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s="2" t="inlineStr">
        <is>
          <t>Slåttergubbe</t>
        </is>
      </c>
      <c r="V16">
        <f>HYPERLINK("https://klasma.github.io/Logging_0767/artfynd/S 625-2023 artfynd.xlsx", "S 625-2023")</f>
        <v/>
      </c>
      <c r="W16">
        <f>HYPERLINK("https://klasma.github.io/Logging_0767/kartor/S 625-2023 karta.png", "S 625-2023")</f>
        <v/>
      </c>
      <c r="Y16">
        <f>HYPERLINK("https://klasma.github.io/Logging_0767/klagomål/S 625-2023 FSC-klagomål.docx", "S 625-2023")</f>
        <v/>
      </c>
      <c r="Z16">
        <f>HYPERLINK("https://klasma.github.io/Logging_0767/klagomålsmail/S 625-2023 FSC-klagomål mail.docx", "S 625-2023")</f>
        <v/>
      </c>
      <c r="AA16">
        <f>HYPERLINK("https://klasma.github.io/Logging_0767/tillsyn/S 625-2023 tillsynsbegäran.docx", "S 625-2023")</f>
        <v/>
      </c>
      <c r="AB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46220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Åkerkål</t>
        </is>
      </c>
      <c r="V17">
        <f>HYPERLINK("https://klasma.github.io/Logging_0767/artfynd/S 4241-2024 artfynd.xlsx", "S 4241-2024")</f>
        <v/>
      </c>
      <c r="W17">
        <f>HYPERLINK("https://klasma.github.io/Logging_0767/kartor/S 4241-2024 karta.png", "S 4241-2024")</f>
        <v/>
      </c>
      <c r="Y17">
        <f>HYPERLINK("https://klasma.github.io/Logging_0767/klagomål/S 4241-2024 FSC-klagomål.docx", "S 4241-2024")</f>
        <v/>
      </c>
      <c r="Z17">
        <f>HYPERLINK("https://klasma.github.io/Logging_0767/klagomålsmail/S 4241-2024 FSC-klagomål mail.docx", "S 4241-2024")</f>
        <v/>
      </c>
      <c r="AA17">
        <f>HYPERLINK("https://klasma.github.io/Logging_0767/tillsyn/S 4241-2024 tillsynsbegäran.docx", "S 4241-2024")</f>
        <v/>
      </c>
      <c r="AB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46220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Borsttåg</t>
        </is>
      </c>
      <c r="V18">
        <f>HYPERLINK("https://klasma.github.io/Logging_0767/artfynd/S 1252-2025 artfynd.xlsx", "S 1252-2025")</f>
        <v/>
      </c>
      <c r="W18">
        <f>HYPERLINK("https://klasma.github.io/Logging_0767/kartor/S 1252-2025 karta.png", "S 1252-2025")</f>
        <v/>
      </c>
      <c r="Y18">
        <f>HYPERLINK("https://klasma.github.io/Logging_0767/klagomål/S 1252-2025 FSC-klagomål.docx", "S 1252-2025")</f>
        <v/>
      </c>
      <c r="Z18">
        <f>HYPERLINK("https://klasma.github.io/Logging_0767/klagomålsmail/S 1252-2025 FSC-klagomål mail.docx", "S 1252-2025")</f>
        <v/>
      </c>
      <c r="AA18">
        <f>HYPERLINK("https://klasma.github.io/Logging_0767/tillsyn/S 1252-2025 tillsynsbegäran.docx", "S 1252-2025")</f>
        <v/>
      </c>
      <c r="AB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46220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46220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46220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46220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46220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46220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46220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46220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46220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46220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46220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46220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46220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46220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46220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38609-2021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44409</v>
      </c>
      <c r="E34" s="1" t="n">
        <v>46220</v>
      </c>
      <c r="F34" t="inlineStr">
        <is>
          <t>KRONOBERGS LÄN</t>
        </is>
      </c>
      <c r="G34" t="inlineStr">
        <is>
          <t>MARKARYD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46220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46220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46220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46220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46220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46220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46220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46220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46220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46220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46220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46220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46220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46220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46220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46220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46220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46220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30340-2022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44760</v>
      </c>
      <c r="E53" s="1" t="n">
        <v>46220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46220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46220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46220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46220</v>
      </c>
      <c r="F57" t="inlineStr">
        <is>
          <t>KRONOBERGS LÄN</t>
        </is>
      </c>
      <c r="G57" t="inlineStr">
        <is>
          <t>MARKARYD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34117-2024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45524</v>
      </c>
      <c r="E58" s="1" t="n">
        <v>46220</v>
      </c>
      <c r="F58" t="inlineStr">
        <is>
          <t>KRONOBERGS LÄN</t>
        </is>
      </c>
      <c r="G58" t="inlineStr">
        <is>
          <t>MARKARYD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19999-2023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46220</v>
      </c>
      <c r="F59" t="inlineStr">
        <is>
          <t>KRONOBERGS LÄN</t>
        </is>
      </c>
      <c r="G59" t="inlineStr">
        <is>
          <t>MARKARYD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44956</v>
      </c>
      <c r="E60" s="1" t="n">
        <v>46220</v>
      </c>
      <c r="F60" t="inlineStr">
        <is>
          <t>KRONOBERGS LÄN</t>
        </is>
      </c>
      <c r="G60" t="inlineStr">
        <is>
          <t>MARKARYD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46220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6559-2022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46220</v>
      </c>
      <c r="F62" t="inlineStr">
        <is>
          <t>KRONOBERGS LÄN</t>
        </is>
      </c>
      <c r="G62" t="inlineStr">
        <is>
          <t>MARKARYD</t>
        </is>
      </c>
      <c r="H62" t="inlineStr">
        <is>
          <t>Kommuner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17932-2024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46220</v>
      </c>
      <c r="F63" t="inlineStr">
        <is>
          <t>KRONOBERGS LÄN</t>
        </is>
      </c>
      <c r="G63" t="inlineStr">
        <is>
          <t>MARKARYD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20206-2024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45434</v>
      </c>
      <c r="E64" s="1" t="n">
        <v>46220</v>
      </c>
      <c r="F64" t="inlineStr">
        <is>
          <t>KRONOBERGS LÄN</t>
        </is>
      </c>
      <c r="G64" t="inlineStr">
        <is>
          <t>MARKARYD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20141-2024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46220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45848-2023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45195</v>
      </c>
      <c r="E66" s="1" t="n">
        <v>46220</v>
      </c>
      <c r="F66" t="inlineStr">
        <is>
          <t>KRONOBERGS LÄN</t>
        </is>
      </c>
      <c r="G66" t="inlineStr">
        <is>
          <t>MARKARYD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46220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25016-2023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45085</v>
      </c>
      <c r="E68" s="1" t="n">
        <v>46220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17255-2024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45414</v>
      </c>
      <c r="E69" s="1" t="n">
        <v>46220</v>
      </c>
      <c r="F69" t="inlineStr">
        <is>
          <t>KRONOBERGS LÄN</t>
        </is>
      </c>
      <c r="G69" t="inlineStr">
        <is>
          <t>MARKARYD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42692-2023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45181</v>
      </c>
      <c r="E70" s="1" t="n">
        <v>46220</v>
      </c>
      <c r="F70" t="inlineStr">
        <is>
          <t>KRONOBERGS LÄN</t>
        </is>
      </c>
      <c r="G70" t="inlineStr">
        <is>
          <t>MARKARYD</t>
        </is>
      </c>
      <c r="H70" t="inlineStr">
        <is>
          <t>Sveaskog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11172-2023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46220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46220</v>
      </c>
      <c r="F72" t="inlineStr">
        <is>
          <t>KRONOBERGS LÄN</t>
        </is>
      </c>
      <c r="G72" t="inlineStr">
        <is>
          <t>MARKARYD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46220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63971-2025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46220</v>
      </c>
      <c r="F74" t="inlineStr">
        <is>
          <t>KRONOBERGS LÄN</t>
        </is>
      </c>
      <c r="G74" t="inlineStr">
        <is>
          <t>MARKARYD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46220</v>
      </c>
      <c r="F75" t="inlineStr">
        <is>
          <t>KRONOBERGS LÄN</t>
        </is>
      </c>
      <c r="G75" t="inlineStr">
        <is>
          <t>MARKARYD</t>
        </is>
      </c>
      <c r="H75" t="inlineStr">
        <is>
          <t>Kyrkan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52873-2022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44875</v>
      </c>
      <c r="E76" s="1" t="n">
        <v>46220</v>
      </c>
      <c r="F76" t="inlineStr">
        <is>
          <t>KRONOBERGS LÄN</t>
        </is>
      </c>
      <c r="G76" t="inlineStr">
        <is>
          <t>MARKARYD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412-2025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45663</v>
      </c>
      <c r="E77" s="1" t="n">
        <v>46220</v>
      </c>
      <c r="F77" t="inlineStr">
        <is>
          <t>KRONOBERGS LÄN</t>
        </is>
      </c>
      <c r="G77" t="inlineStr">
        <is>
          <t>MARKARYD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46220</v>
      </c>
      <c r="F78" t="inlineStr">
        <is>
          <t>KRONOBERGS LÄN</t>
        </is>
      </c>
      <c r="G78" t="inlineStr">
        <is>
          <t>MARKARYD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50919-2023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45218</v>
      </c>
      <c r="E79" s="1" t="n">
        <v>46220</v>
      </c>
      <c r="F79" t="inlineStr">
        <is>
          <t>KRONOBERGS LÄN</t>
        </is>
      </c>
      <c r="G79" t="inlineStr">
        <is>
          <t>MARKARYD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25421-2025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46220</v>
      </c>
      <c r="F80" t="inlineStr">
        <is>
          <t>KRONOBERGS LÄN</t>
        </is>
      </c>
      <c r="G80" t="inlineStr">
        <is>
          <t>MARKARYD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25423-2025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46220</v>
      </c>
      <c r="F81" t="inlineStr">
        <is>
          <t>KRONOBERGS LÄN</t>
        </is>
      </c>
      <c r="G81" t="inlineStr">
        <is>
          <t>MARKARYD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51202-2023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46220</v>
      </c>
      <c r="F82" t="inlineStr">
        <is>
          <t>KRONOBERGS LÄN</t>
        </is>
      </c>
      <c r="G82" t="inlineStr">
        <is>
          <t>MARKARYD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1682-2026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46034</v>
      </c>
      <c r="E83" s="1" t="n">
        <v>46220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61283-2022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46220</v>
      </c>
      <c r="F84" t="inlineStr">
        <is>
          <t>KRONOBERGS LÄN</t>
        </is>
      </c>
      <c r="G84" t="inlineStr">
        <is>
          <t>MARKARYD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44601</v>
      </c>
      <c r="E85" s="1" t="n">
        <v>46220</v>
      </c>
      <c r="F85" t="inlineStr">
        <is>
          <t>KRONOBERGS LÄN</t>
        </is>
      </c>
      <c r="G85" t="inlineStr">
        <is>
          <t>MARKARYD</t>
        </is>
      </c>
      <c r="H85" t="inlineStr">
        <is>
          <t>Kommuner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50781-2024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46220</v>
      </c>
      <c r="F86" t="inlineStr">
        <is>
          <t>KRONOBERGS LÄN</t>
        </is>
      </c>
      <c r="G86" t="inlineStr">
        <is>
          <t>MARKARYD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45854-2023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45195</v>
      </c>
      <c r="E87" s="1" t="n">
        <v>46220</v>
      </c>
      <c r="F87" t="inlineStr">
        <is>
          <t>KRONOBERGS LÄN</t>
        </is>
      </c>
      <c r="G87" t="inlineStr">
        <is>
          <t>MARKARYD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12155-2022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44636</v>
      </c>
      <c r="E88" s="1" t="n">
        <v>46220</v>
      </c>
      <c r="F88" t="inlineStr">
        <is>
          <t>KRONOBERGS LÄN</t>
        </is>
      </c>
      <c r="G88" t="inlineStr">
        <is>
          <t>MARKARYD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10685-2023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44988</v>
      </c>
      <c r="E89" s="1" t="n">
        <v>46220</v>
      </c>
      <c r="F89" t="inlineStr">
        <is>
          <t>KRONOBERGS LÄN</t>
        </is>
      </c>
      <c r="G89" t="inlineStr">
        <is>
          <t>MARKARYD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49695-2023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45212</v>
      </c>
      <c r="E90" s="1" t="n">
        <v>46220</v>
      </c>
      <c r="F90" t="inlineStr">
        <is>
          <t>KRONOBERGS LÄN</t>
        </is>
      </c>
      <c r="G90" t="inlineStr">
        <is>
          <t>MARKARYD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9134-2023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44980</v>
      </c>
      <c r="E91" s="1" t="n">
        <v>46220</v>
      </c>
      <c r="F91" t="inlineStr">
        <is>
          <t>KRONOBERGS LÄN</t>
        </is>
      </c>
      <c r="G91" t="inlineStr">
        <is>
          <t>MARKARYD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38921-2024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46220</v>
      </c>
      <c r="F92" t="inlineStr">
        <is>
          <t>KRONOBERGS LÄN</t>
        </is>
      </c>
      <c r="G92" t="inlineStr">
        <is>
          <t>MARKARYD</t>
        </is>
      </c>
      <c r="H92" t="inlineStr">
        <is>
          <t>Kyrkan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55206-2023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46220</v>
      </c>
      <c r="F93" t="inlineStr">
        <is>
          <t>KRONOBERGS LÄN</t>
        </is>
      </c>
      <c r="G93" t="inlineStr">
        <is>
          <t>MARKARYD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18776-2024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46220</v>
      </c>
      <c r="F94" t="inlineStr">
        <is>
          <t>KRONOBERGS LÄN</t>
        </is>
      </c>
      <c r="G94" t="inlineStr">
        <is>
          <t>MARKARYD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7121-2023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44970</v>
      </c>
      <c r="E95" s="1" t="n">
        <v>46220</v>
      </c>
      <c r="F95" t="inlineStr">
        <is>
          <t>KRONOBERGS LÄN</t>
        </is>
      </c>
      <c r="G95" t="inlineStr">
        <is>
          <t>MARKARYD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42082-2025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46220</v>
      </c>
      <c r="F96" t="inlineStr">
        <is>
          <t>KRONOBERGS LÄN</t>
        </is>
      </c>
      <c r="G96" t="inlineStr">
        <is>
          <t>MARKARYD</t>
        </is>
      </c>
      <c r="I96" t="n">
        <v>8.300000000000001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74006-2021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46220</v>
      </c>
      <c r="F97" t="inlineStr">
        <is>
          <t>KRONOBERGS LÄN</t>
        </is>
      </c>
      <c r="G97" t="inlineStr">
        <is>
          <t>MARKARYD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43133-2025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45909</v>
      </c>
      <c r="E98" s="1" t="n">
        <v>46220</v>
      </c>
      <c r="F98" t="inlineStr">
        <is>
          <t>KRONOBERGS LÄN</t>
        </is>
      </c>
      <c r="G98" t="inlineStr">
        <is>
          <t>MARKARYD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38624-2024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46220</v>
      </c>
      <c r="F99" t="inlineStr">
        <is>
          <t>KRONOBERGS LÄN</t>
        </is>
      </c>
      <c r="G99" t="inlineStr">
        <is>
          <t>MARKARYD</t>
        </is>
      </c>
      <c r="H99" t="inlineStr">
        <is>
          <t>Kyrkan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26840-2025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46220</v>
      </c>
      <c r="F100" t="inlineStr">
        <is>
          <t>KRONOBERGS LÄN</t>
        </is>
      </c>
      <c r="G100" t="inlineStr">
        <is>
          <t>MARKARYD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46220</v>
      </c>
      <c r="F101" t="inlineStr">
        <is>
          <t>KRONOBERGS LÄN</t>
        </is>
      </c>
      <c r="G101" t="inlineStr">
        <is>
          <t>MARKARYD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37557-2022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44809</v>
      </c>
      <c r="E102" s="1" t="n">
        <v>46220</v>
      </c>
      <c r="F102" t="inlineStr">
        <is>
          <t>KRONOBERGS LÄN</t>
        </is>
      </c>
      <c r="G102" t="inlineStr">
        <is>
          <t>MARKARYD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17684-2024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45418</v>
      </c>
      <c r="E103" s="1" t="n">
        <v>46220</v>
      </c>
      <c r="F103" t="inlineStr">
        <is>
          <t>KRONOBERGS LÄN</t>
        </is>
      </c>
      <c r="G103" t="inlineStr">
        <is>
          <t>MARKARYD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34818-2023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46220</v>
      </c>
      <c r="F104" t="inlineStr">
        <is>
          <t>KRONOBERGS LÄN</t>
        </is>
      </c>
      <c r="G104" t="inlineStr">
        <is>
          <t>MARKARYD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44671-2025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46220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33819-2025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45842</v>
      </c>
      <c r="E106" s="1" t="n">
        <v>46220</v>
      </c>
      <c r="F106" t="inlineStr">
        <is>
          <t>KRONOBERGS LÄN</t>
        </is>
      </c>
      <c r="G106" t="inlineStr">
        <is>
          <t>MARKARYD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60118-2023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45258</v>
      </c>
      <c r="E107" s="1" t="n">
        <v>46220</v>
      </c>
      <c r="F107" t="inlineStr">
        <is>
          <t>KRONOBERGS LÄN</t>
        </is>
      </c>
      <c r="G107" t="inlineStr">
        <is>
          <t>MARKARYD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42671-2023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45181</v>
      </c>
      <c r="E108" s="1" t="n">
        <v>46220</v>
      </c>
      <c r="F108" t="inlineStr">
        <is>
          <t>KRONOBERGS LÄN</t>
        </is>
      </c>
      <c r="G108" t="inlineStr">
        <is>
          <t>MARKARYD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33821-2025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45842</v>
      </c>
      <c r="E109" s="1" t="n">
        <v>46220</v>
      </c>
      <c r="F109" t="inlineStr">
        <is>
          <t>KRONOBERGS LÄN</t>
        </is>
      </c>
      <c r="G109" t="inlineStr">
        <is>
          <t>MARKARYD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32024-2023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46220</v>
      </c>
      <c r="F110" t="inlineStr">
        <is>
          <t>KRONOBERGS LÄN</t>
        </is>
      </c>
      <c r="G110" t="inlineStr">
        <is>
          <t>MARKARYD</t>
        </is>
      </c>
      <c r="H110" t="inlineStr">
        <is>
          <t>Kyrkan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10175-2025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46220</v>
      </c>
      <c r="F111" t="inlineStr">
        <is>
          <t>KRONOBERGS LÄN</t>
        </is>
      </c>
      <c r="G111" t="inlineStr">
        <is>
          <t>MARKARYD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39435-2021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44414</v>
      </c>
      <c r="E112" s="1" t="n">
        <v>46220</v>
      </c>
      <c r="F112" t="inlineStr">
        <is>
          <t>KRONOBERGS LÄN</t>
        </is>
      </c>
      <c r="G112" t="inlineStr">
        <is>
          <t>MARKARYD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13951-2023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45008</v>
      </c>
      <c r="E113" s="1" t="n">
        <v>46220</v>
      </c>
      <c r="F113" t="inlineStr">
        <is>
          <t>KRONOBERGS LÄN</t>
        </is>
      </c>
      <c r="G113" t="inlineStr">
        <is>
          <t>MARKARYD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11781-2023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44994</v>
      </c>
      <c r="E114" s="1" t="n">
        <v>46220</v>
      </c>
      <c r="F114" t="inlineStr">
        <is>
          <t>KRONOBERGS LÄN</t>
        </is>
      </c>
      <c r="G114" t="inlineStr">
        <is>
          <t>MARKARYD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47424-2025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46220</v>
      </c>
      <c r="F115" t="inlineStr">
        <is>
          <t>KRONOBERGS LÄN</t>
        </is>
      </c>
      <c r="G115" t="inlineStr">
        <is>
          <t>MARKARYD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47457-2025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46220</v>
      </c>
      <c r="F116" t="inlineStr">
        <is>
          <t>KRONOBERGS LÄN</t>
        </is>
      </c>
      <c r="G116" t="inlineStr">
        <is>
          <t>MARKARYD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45288-2023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46220</v>
      </c>
      <c r="F117" t="inlineStr">
        <is>
          <t>KRONOBERGS LÄN</t>
        </is>
      </c>
      <c r="G117" t="inlineStr">
        <is>
          <t>MARKARYD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36504-2025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45869</v>
      </c>
      <c r="E118" s="1" t="n">
        <v>46220</v>
      </c>
      <c r="F118" t="inlineStr">
        <is>
          <t>KRONOBERGS LÄN</t>
        </is>
      </c>
      <c r="G118" t="inlineStr">
        <is>
          <t>MARKARYD</t>
        </is>
      </c>
      <c r="H118" t="inlineStr">
        <is>
          <t>Kyrkan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38005-2025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45882</v>
      </c>
      <c r="E119" s="1" t="n">
        <v>46220</v>
      </c>
      <c r="F119" t="inlineStr">
        <is>
          <t>KRONOBERGS LÄN</t>
        </is>
      </c>
      <c r="G119" t="inlineStr">
        <is>
          <t>MARKARYD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36499-2025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46220</v>
      </c>
      <c r="F120" t="inlineStr">
        <is>
          <t>KRONOBERGS LÄN</t>
        </is>
      </c>
      <c r="G120" t="inlineStr">
        <is>
          <t>MARKARYD</t>
        </is>
      </c>
      <c r="H120" t="inlineStr">
        <is>
          <t>Kyrkan</t>
        </is>
      </c>
      <c r="I120" t="n">
        <v>10.3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70327-2021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44536</v>
      </c>
      <c r="E121" s="1" t="n">
        <v>46220</v>
      </c>
      <c r="F121" t="inlineStr">
        <is>
          <t>KRONOBERGS LÄN</t>
        </is>
      </c>
      <c r="G121" t="inlineStr">
        <is>
          <t>MARKARYD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19240-2025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46220</v>
      </c>
      <c r="F122" t="inlineStr">
        <is>
          <t>KRONOBERGS LÄN</t>
        </is>
      </c>
      <c r="G122" t="inlineStr">
        <is>
          <t>MARKARYD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22154-2023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46220</v>
      </c>
      <c r="F123" t="inlineStr">
        <is>
          <t>KRONOBERGS LÄN</t>
        </is>
      </c>
      <c r="G123" t="inlineStr">
        <is>
          <t>MARKARYD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8277-2024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46220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40514-2023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46220</v>
      </c>
      <c r="F125" t="inlineStr">
        <is>
          <t>KRONOBERGS LÄN</t>
        </is>
      </c>
      <c r="G125" t="inlineStr">
        <is>
          <t>MARKARYD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16711-2022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44673</v>
      </c>
      <c r="E126" s="1" t="n">
        <v>46220</v>
      </c>
      <c r="F126" t="inlineStr">
        <is>
          <t>KRONOBERGS LÄN</t>
        </is>
      </c>
      <c r="G126" t="inlineStr">
        <is>
          <t>MARKARYD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16712-2022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44673</v>
      </c>
      <c r="E127" s="1" t="n">
        <v>46220</v>
      </c>
      <c r="F127" t="inlineStr">
        <is>
          <t>KRONOBERGS LÄN</t>
        </is>
      </c>
      <c r="G127" t="inlineStr">
        <is>
          <t>MARKARYD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19233-2025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46220</v>
      </c>
      <c r="F128" t="inlineStr">
        <is>
          <t>KRONOBERGS LÄN</t>
        </is>
      </c>
      <c r="G128" t="inlineStr">
        <is>
          <t>MARKARYD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3597-2026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46220</v>
      </c>
      <c r="F129" t="inlineStr">
        <is>
          <t>KRONOBERGS LÄN</t>
        </is>
      </c>
      <c r="G129" t="inlineStr">
        <is>
          <t>MARKARYD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37026-2025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45874</v>
      </c>
      <c r="E130" s="1" t="n">
        <v>46220</v>
      </c>
      <c r="F130" t="inlineStr">
        <is>
          <t>KRONOBERGS LÄN</t>
        </is>
      </c>
      <c r="G130" t="inlineStr">
        <is>
          <t>MARKARYD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45942</v>
      </c>
      <c r="E131" s="1" t="n">
        <v>46220</v>
      </c>
      <c r="F131" t="inlineStr">
        <is>
          <t>KRONOBERGS LÄN</t>
        </is>
      </c>
      <c r="G131" t="inlineStr">
        <is>
          <t>MARKARYD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25621-2023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45089</v>
      </c>
      <c r="E132" s="1" t="n">
        <v>46220</v>
      </c>
      <c r="F132" t="inlineStr">
        <is>
          <t>KRONOBERGS LÄN</t>
        </is>
      </c>
      <c r="G132" t="inlineStr">
        <is>
          <t>MARKARYD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50297-2023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45216</v>
      </c>
      <c r="E133" s="1" t="n">
        <v>46220</v>
      </c>
      <c r="F133" t="inlineStr">
        <is>
          <t>KRONOBERGS LÄN</t>
        </is>
      </c>
      <c r="G133" t="inlineStr">
        <is>
          <t>MARKARYD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60531-2022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46220</v>
      </c>
      <c r="F134" t="inlineStr">
        <is>
          <t>KRONOBERGS LÄN</t>
        </is>
      </c>
      <c r="G134" t="inlineStr">
        <is>
          <t>MARKARYD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37603-2025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46220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45880</v>
      </c>
      <c r="E136" s="1" t="n">
        <v>46220</v>
      </c>
      <c r="F136" t="inlineStr">
        <is>
          <t>KRONOBERGS LÄN</t>
        </is>
      </c>
      <c r="G136" t="inlineStr">
        <is>
          <t>MARKARYD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64511-2023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45281</v>
      </c>
      <c r="E137" s="1" t="n">
        <v>46220</v>
      </c>
      <c r="F137" t="inlineStr">
        <is>
          <t>KRONOBERGS LÄN</t>
        </is>
      </c>
      <c r="G137" t="inlineStr">
        <is>
          <t>MARKARYD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50927-2023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45218</v>
      </c>
      <c r="E138" s="1" t="n">
        <v>46220</v>
      </c>
      <c r="F138" t="inlineStr">
        <is>
          <t>KRONOBERGS LÄN</t>
        </is>
      </c>
      <c r="G138" t="inlineStr">
        <is>
          <t>MARKARYD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50734-2021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44460</v>
      </c>
      <c r="E139" s="1" t="n">
        <v>46220</v>
      </c>
      <c r="F139" t="inlineStr">
        <is>
          <t>KRONOBERGS LÄN</t>
        </is>
      </c>
      <c r="G139" t="inlineStr">
        <is>
          <t>MARKARYD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13148-2022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44644</v>
      </c>
      <c r="E140" s="1" t="n">
        <v>46220</v>
      </c>
      <c r="F140" t="inlineStr">
        <is>
          <t>KRONOBERGS LÄN</t>
        </is>
      </c>
      <c r="G140" t="inlineStr">
        <is>
          <t>MARKARYD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46220</v>
      </c>
      <c r="F141" t="inlineStr">
        <is>
          <t>KRONOBERGS LÄN</t>
        </is>
      </c>
      <c r="G141" t="inlineStr">
        <is>
          <t>MARKARYD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46049</v>
      </c>
      <c r="E142" s="1" t="n">
        <v>46220</v>
      </c>
      <c r="F142" t="inlineStr">
        <is>
          <t>KRONOBERGS LÄN</t>
        </is>
      </c>
      <c r="G142" t="inlineStr">
        <is>
          <t>MARKARYD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5782-2026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46049</v>
      </c>
      <c r="E143" s="1" t="n">
        <v>46220</v>
      </c>
      <c r="F143" t="inlineStr">
        <is>
          <t>KRONOBERGS LÄN</t>
        </is>
      </c>
      <c r="G143" t="inlineStr">
        <is>
          <t>MARKARYD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32427-2024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45512</v>
      </c>
      <c r="E144" s="1" t="n">
        <v>46220</v>
      </c>
      <c r="F144" t="inlineStr">
        <is>
          <t>KRONOBERGS LÄN</t>
        </is>
      </c>
      <c r="G144" t="inlineStr">
        <is>
          <t>MARKARYD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51240-2023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46220</v>
      </c>
      <c r="F145" t="inlineStr">
        <is>
          <t>KRONOBERGS LÄN</t>
        </is>
      </c>
      <c r="G145" t="inlineStr">
        <is>
          <t>MARKARYD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5765-2026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46049</v>
      </c>
      <c r="E146" s="1" t="n">
        <v>46220</v>
      </c>
      <c r="F146" t="inlineStr">
        <is>
          <t>KRONOBERGS LÄN</t>
        </is>
      </c>
      <c r="G146" t="inlineStr">
        <is>
          <t>MARKARYD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40608-2024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45556</v>
      </c>
      <c r="E147" s="1" t="n">
        <v>46220</v>
      </c>
      <c r="F147" t="inlineStr">
        <is>
          <t>KRONOBERGS LÄN</t>
        </is>
      </c>
      <c r="G147" t="inlineStr">
        <is>
          <t>MARKARYD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35309-2024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45530</v>
      </c>
      <c r="E148" s="1" t="n">
        <v>46220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52737-2021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44467</v>
      </c>
      <c r="E149" s="1" t="n">
        <v>46220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23288-2024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45453</v>
      </c>
      <c r="E150" s="1" t="n">
        <v>46220</v>
      </c>
      <c r="F150" t="inlineStr">
        <is>
          <t>KRONOBERGS LÄN</t>
        </is>
      </c>
      <c r="G150" t="inlineStr">
        <is>
          <t>MARKARYD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51179-2023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46220</v>
      </c>
      <c r="F151" t="inlineStr">
        <is>
          <t>KRONOBERGS LÄN</t>
        </is>
      </c>
      <c r="G151" t="inlineStr">
        <is>
          <t>MARKARYD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55107-2021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44474</v>
      </c>
      <c r="E152" s="1" t="n">
        <v>46220</v>
      </c>
      <c r="F152" t="inlineStr">
        <is>
          <t>KRONOBERGS LÄN</t>
        </is>
      </c>
      <c r="G152" t="inlineStr">
        <is>
          <t>MARKARYD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35285-2022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44798</v>
      </c>
      <c r="E153" s="1" t="n">
        <v>46220</v>
      </c>
      <c r="F153" t="inlineStr">
        <is>
          <t>KRONOBERGS LÄN</t>
        </is>
      </c>
      <c r="G153" t="inlineStr">
        <is>
          <t>MARKARYD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46891-2024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46220</v>
      </c>
      <c r="F154" t="inlineStr">
        <is>
          <t>KRONOBERGS LÄN</t>
        </is>
      </c>
      <c r="G154" t="inlineStr">
        <is>
          <t>MARKARYD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7832-2026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46220</v>
      </c>
      <c r="F155" t="inlineStr">
        <is>
          <t>KRONOBERGS LÄN</t>
        </is>
      </c>
      <c r="G155" t="inlineStr">
        <is>
          <t>MARKARYD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7887-2026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46063</v>
      </c>
      <c r="E156" s="1" t="n">
        <v>46220</v>
      </c>
      <c r="F156" t="inlineStr">
        <is>
          <t>KRONOBERGS LÄN</t>
        </is>
      </c>
      <c r="G156" t="inlineStr">
        <is>
          <t>MARKARYD</t>
        </is>
      </c>
      <c r="I156" t="n">
        <v>16.3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21658-2023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46220</v>
      </c>
      <c r="F157" t="inlineStr">
        <is>
          <t>KRONOBERGS LÄN</t>
        </is>
      </c>
      <c r="G157" t="inlineStr">
        <is>
          <t>MARKARYD</t>
        </is>
      </c>
      <c r="I157" t="n">
        <v>12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19219-2024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45428</v>
      </c>
      <c r="E158" s="1" t="n">
        <v>46220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64507-2023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46220</v>
      </c>
      <c r="F159" t="inlineStr">
        <is>
          <t>KRONOBERGS LÄN</t>
        </is>
      </c>
      <c r="G159" t="inlineStr">
        <is>
          <t>MARKARYD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46220</v>
      </c>
      <c r="F160" t="inlineStr">
        <is>
          <t>KRONOBERGS LÄN</t>
        </is>
      </c>
      <c r="G160" t="inlineStr">
        <is>
          <t>MARKARYD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10702-2023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46220</v>
      </c>
      <c r="F161" t="inlineStr">
        <is>
          <t>KRONOBERGS LÄN</t>
        </is>
      </c>
      <c r="G161" t="inlineStr">
        <is>
          <t>MARKARYD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44928</v>
      </c>
      <c r="E162" s="1" t="n">
        <v>46220</v>
      </c>
      <c r="F162" t="inlineStr">
        <is>
          <t>KRONOBERGS LÄN</t>
        </is>
      </c>
      <c r="G162" t="inlineStr">
        <is>
          <t>MARKARYD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42188-2024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46220</v>
      </c>
      <c r="F163" t="inlineStr">
        <is>
          <t>KRONOBERGS LÄN</t>
        </is>
      </c>
      <c r="G163" t="inlineStr">
        <is>
          <t>MARKARYD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19902-2025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46220</v>
      </c>
      <c r="F164" t="inlineStr">
        <is>
          <t>KRONOBERGS LÄN</t>
        </is>
      </c>
      <c r="G164" t="inlineStr">
        <is>
          <t>MARKARYD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58694-2022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46220</v>
      </c>
      <c r="F165" t="inlineStr">
        <is>
          <t>KRONOBERGS LÄN</t>
        </is>
      </c>
      <c r="G165" t="inlineStr">
        <is>
          <t>MARKARYD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9064-2026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46220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11.2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65581-2021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44516</v>
      </c>
      <c r="E167" s="1" t="n">
        <v>46220</v>
      </c>
      <c r="F167" t="inlineStr">
        <is>
          <t>KRONOBERGS LÄN</t>
        </is>
      </c>
      <c r="G167" t="inlineStr">
        <is>
          <t>MARKARYD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17136-2022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44677</v>
      </c>
      <c r="E168" s="1" t="n">
        <v>46220</v>
      </c>
      <c r="F168" t="inlineStr">
        <is>
          <t>KRONOBERGS LÄN</t>
        </is>
      </c>
      <c r="G168" t="inlineStr">
        <is>
          <t>MARKARYD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46220</v>
      </c>
      <c r="F169" t="inlineStr">
        <is>
          <t>KRONOBERGS LÄN</t>
        </is>
      </c>
      <c r="G169" t="inlineStr">
        <is>
          <t>MARKARYD</t>
        </is>
      </c>
      <c r="H169" t="inlineStr">
        <is>
          <t>Övriga Aktiebolag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9062-2026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46220</v>
      </c>
      <c r="F170" t="inlineStr">
        <is>
          <t>KRONOBERGS LÄN</t>
        </is>
      </c>
      <c r="G170" t="inlineStr">
        <is>
          <t>MARKARYD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40059-2021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44418</v>
      </c>
      <c r="E171" s="1" t="n">
        <v>46220</v>
      </c>
      <c r="F171" t="inlineStr">
        <is>
          <t>KRONOBERGS LÄN</t>
        </is>
      </c>
      <c r="G171" t="inlineStr">
        <is>
          <t>MARKARYD</t>
        </is>
      </c>
      <c r="H171" t="inlineStr">
        <is>
          <t>Kommuner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9060-2026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46220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9066-2026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46220</v>
      </c>
      <c r="F173" t="inlineStr">
        <is>
          <t>KRONOBERGS LÄN</t>
        </is>
      </c>
      <c r="G173" t="inlineStr">
        <is>
          <t>MARKARYD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9061-2026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46220</v>
      </c>
      <c r="F174" t="inlineStr">
        <is>
          <t>KRONOBERGS LÄN</t>
        </is>
      </c>
      <c r="G174" t="inlineStr">
        <is>
          <t>MARKARYD</t>
        </is>
      </c>
      <c r="H174" t="inlineStr">
        <is>
          <t>Sveaskog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46220</v>
      </c>
      <c r="F175" t="inlineStr">
        <is>
          <t>KRONOBERGS LÄN</t>
        </is>
      </c>
      <c r="G175" t="inlineStr">
        <is>
          <t>MARKARYD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46220</v>
      </c>
      <c r="F176" t="inlineStr">
        <is>
          <t>KRONOBERGS LÄN</t>
        </is>
      </c>
      <c r="G176" t="inlineStr">
        <is>
          <t>MARKARYD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46220</v>
      </c>
      <c r="F177" t="inlineStr">
        <is>
          <t>KRONOBERGS LÄN</t>
        </is>
      </c>
      <c r="G177" t="inlineStr">
        <is>
          <t>MARKARYD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46220</v>
      </c>
      <c r="F178" t="inlineStr">
        <is>
          <t>KRONOBERGS LÄN</t>
        </is>
      </c>
      <c r="G178" t="inlineStr">
        <is>
          <t>MARKARYD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63468-2025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46013</v>
      </c>
      <c r="E179" s="1" t="n">
        <v>46220</v>
      </c>
      <c r="F179" t="inlineStr">
        <is>
          <t>KRONOBERGS LÄN</t>
        </is>
      </c>
      <c r="G179" t="inlineStr">
        <is>
          <t>MARKARYD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63466-2025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46220</v>
      </c>
      <c r="F180" t="inlineStr">
        <is>
          <t>KRONOBERGS LÄN</t>
        </is>
      </c>
      <c r="G180" t="inlineStr">
        <is>
          <t>MARKARYD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63462-2025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46220</v>
      </c>
      <c r="F181" t="inlineStr">
        <is>
          <t>KRONOBERGS LÄN</t>
        </is>
      </c>
      <c r="G181" t="inlineStr">
        <is>
          <t>MARKARYD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38330-2023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45161</v>
      </c>
      <c r="E182" s="1" t="n">
        <v>46220</v>
      </c>
      <c r="F182" t="inlineStr">
        <is>
          <t>KRONOBERGS LÄN</t>
        </is>
      </c>
      <c r="G182" t="inlineStr">
        <is>
          <t>MARKARYD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60369-2024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45643</v>
      </c>
      <c r="E183" s="1" t="n">
        <v>46220</v>
      </c>
      <c r="F183" t="inlineStr">
        <is>
          <t>KRONOBERGS LÄN</t>
        </is>
      </c>
      <c r="G183" t="inlineStr">
        <is>
          <t>MARKARYD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7395-2022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44606</v>
      </c>
      <c r="E184" s="1" t="n">
        <v>46220</v>
      </c>
      <c r="F184" t="inlineStr">
        <is>
          <t>KRONOBERGS LÄN</t>
        </is>
      </c>
      <c r="G184" t="inlineStr">
        <is>
          <t>MARKARYD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60457-2022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44911</v>
      </c>
      <c r="E185" s="1" t="n">
        <v>46220</v>
      </c>
      <c r="F185" t="inlineStr">
        <is>
          <t>KRONOBERGS LÄN</t>
        </is>
      </c>
      <c r="G185" t="inlineStr">
        <is>
          <t>MARKARYD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12854-2023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46220</v>
      </c>
      <c r="F186" t="inlineStr">
        <is>
          <t>KRONOBERGS LÄN</t>
        </is>
      </c>
      <c r="G186" t="inlineStr">
        <is>
          <t>MARKARYD</t>
        </is>
      </c>
      <c r="H186" t="inlineStr">
        <is>
          <t>Kyrkan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44935</v>
      </c>
      <c r="E187" s="1" t="n">
        <v>46220</v>
      </c>
      <c r="F187" t="inlineStr">
        <is>
          <t>KRONOBERGS LÄN</t>
        </is>
      </c>
      <c r="G187" t="inlineStr">
        <is>
          <t>MARKARYD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46220</v>
      </c>
      <c r="F188" t="inlineStr">
        <is>
          <t>KRONOBERGS LÄN</t>
        </is>
      </c>
      <c r="G188" t="inlineStr">
        <is>
          <t>MARKARYD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27365-2024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45473</v>
      </c>
      <c r="E189" s="1" t="n">
        <v>46220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8501-2023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44977</v>
      </c>
      <c r="E190" s="1" t="n">
        <v>46220</v>
      </c>
      <c r="F190" t="inlineStr">
        <is>
          <t>KRONOBERGS LÄN</t>
        </is>
      </c>
      <c r="G190" t="inlineStr">
        <is>
          <t>MARKARYD</t>
        </is>
      </c>
      <c r="I190" t="n">
        <v>20.7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8494-2023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44977</v>
      </c>
      <c r="E191" s="1" t="n">
        <v>46220</v>
      </c>
      <c r="F191" t="inlineStr">
        <is>
          <t>KRONOBERGS LÄN</t>
        </is>
      </c>
      <c r="G191" t="inlineStr">
        <is>
          <t>MARKARYD</t>
        </is>
      </c>
      <c r="I191" t="n">
        <v>13.6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12019-2026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46085</v>
      </c>
      <c r="E192" s="1" t="n">
        <v>46220</v>
      </c>
      <c r="F192" t="inlineStr">
        <is>
          <t>KRONOBERGS LÄN</t>
        </is>
      </c>
      <c r="G192" t="inlineStr">
        <is>
          <t>MARKARYD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12018-2026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46085</v>
      </c>
      <c r="E193" s="1" t="n">
        <v>46220</v>
      </c>
      <c r="F193" t="inlineStr">
        <is>
          <t>KRONOBERGS LÄN</t>
        </is>
      </c>
      <c r="G193" t="inlineStr">
        <is>
          <t>MARKARYD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12020-2026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46085</v>
      </c>
      <c r="E194" s="1" t="n">
        <v>46220</v>
      </c>
      <c r="F194" t="inlineStr">
        <is>
          <t>KRONOBERGS LÄN</t>
        </is>
      </c>
      <c r="G194" t="inlineStr">
        <is>
          <t>MARKARYD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12021-2026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46220</v>
      </c>
      <c r="F195" t="inlineStr">
        <is>
          <t>KRONOBERGS LÄN</t>
        </is>
      </c>
      <c r="G195" t="inlineStr">
        <is>
          <t>MARKARYD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12022-2026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46085</v>
      </c>
      <c r="E196" s="1" t="n">
        <v>46220</v>
      </c>
      <c r="F196" t="inlineStr">
        <is>
          <t>KRONOBERGS LÄN</t>
        </is>
      </c>
      <c r="G196" t="inlineStr">
        <is>
          <t>MARKARYD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55332-2022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44887</v>
      </c>
      <c r="E197" s="1" t="n">
        <v>46220</v>
      </c>
      <c r="F197" t="inlineStr">
        <is>
          <t>KRONOBERGS LÄN</t>
        </is>
      </c>
      <c r="G197" t="inlineStr">
        <is>
          <t>MARKARYD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12524-2026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46090</v>
      </c>
      <c r="E198" s="1" t="n">
        <v>46220</v>
      </c>
      <c r="F198" t="inlineStr">
        <is>
          <t>KRONOBERGS LÄN</t>
        </is>
      </c>
      <c r="G198" t="inlineStr">
        <is>
          <t>MARKARYD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12521-2026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46220</v>
      </c>
      <c r="F199" t="inlineStr">
        <is>
          <t>KRONOBERGS LÄN</t>
        </is>
      </c>
      <c r="G199" t="inlineStr">
        <is>
          <t>MARKARYD</t>
        </is>
      </c>
      <c r="H199" t="inlineStr">
        <is>
          <t>Sveaskog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12522-2026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46090</v>
      </c>
      <c r="E200" s="1" t="n">
        <v>46220</v>
      </c>
      <c r="F200" t="inlineStr">
        <is>
          <t>KRONOBERGS LÄN</t>
        </is>
      </c>
      <c r="G200" t="inlineStr">
        <is>
          <t>MARKARYD</t>
        </is>
      </c>
      <c r="H200" t="inlineStr">
        <is>
          <t>Sveaskog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12526-2026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46220</v>
      </c>
      <c r="F201" t="inlineStr">
        <is>
          <t>KRONOBERGS LÄN</t>
        </is>
      </c>
      <c r="G201" t="inlineStr">
        <is>
          <t>MARKARYD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12530-2026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46090</v>
      </c>
      <c r="E202" s="1" t="n">
        <v>46220</v>
      </c>
      <c r="F202" t="inlineStr">
        <is>
          <t>KRONOBERGS LÄN</t>
        </is>
      </c>
      <c r="G202" t="inlineStr">
        <is>
          <t>MARKARYD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12531-2026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46220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53628-2024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46220</v>
      </c>
      <c r="F204" t="inlineStr">
        <is>
          <t>KRONOBERGS LÄN</t>
        </is>
      </c>
      <c r="G204" t="inlineStr">
        <is>
          <t>MARKARYD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52636-2023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45225</v>
      </c>
      <c r="E205" s="1" t="n">
        <v>46220</v>
      </c>
      <c r="F205" t="inlineStr">
        <is>
          <t>KRONOBERGS LÄN</t>
        </is>
      </c>
      <c r="G205" t="inlineStr">
        <is>
          <t>MARKARYD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54926-2023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46220</v>
      </c>
      <c r="F206" t="inlineStr">
        <is>
          <t>KRONOBERGS LÄN</t>
        </is>
      </c>
      <c r="G206" t="inlineStr">
        <is>
          <t>MARKARYD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60121-2023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45258</v>
      </c>
      <c r="E207" s="1" t="n">
        <v>46220</v>
      </c>
      <c r="F207" t="inlineStr">
        <is>
          <t>KRONOBERGS LÄN</t>
        </is>
      </c>
      <c r="G207" t="inlineStr">
        <is>
          <t>MARKARYD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44565</v>
      </c>
      <c r="E208" s="1" t="n">
        <v>46220</v>
      </c>
      <c r="F208" t="inlineStr">
        <is>
          <t>KRONOBERGS LÄN</t>
        </is>
      </c>
      <c r="G208" t="inlineStr">
        <is>
          <t>MARKARYD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11175-2023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44992</v>
      </c>
      <c r="E209" s="1" t="n">
        <v>46220</v>
      </c>
      <c r="F209" t="inlineStr">
        <is>
          <t>KRONOBERGS LÄN</t>
        </is>
      </c>
      <c r="G209" t="inlineStr">
        <is>
          <t>MARKARYD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62309-2023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46220</v>
      </c>
      <c r="F210" t="inlineStr">
        <is>
          <t>KRONOBERGS LÄN</t>
        </is>
      </c>
      <c r="G210" t="inlineStr">
        <is>
          <t>MARKARYD</t>
        </is>
      </c>
      <c r="I210" t="n">
        <v>13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14382-2026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46100</v>
      </c>
      <c r="E211" s="1" t="n">
        <v>46220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14376-2026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46100</v>
      </c>
      <c r="E212" s="1" t="n">
        <v>46220</v>
      </c>
      <c r="F212" t="inlineStr">
        <is>
          <t>KRONOBERGS LÄN</t>
        </is>
      </c>
      <c r="G212" t="inlineStr">
        <is>
          <t>MARKARYD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14380-2026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46100</v>
      </c>
      <c r="E213" s="1" t="n">
        <v>46220</v>
      </c>
      <c r="F213" t="inlineStr">
        <is>
          <t>KRONOBERGS LÄN</t>
        </is>
      </c>
      <c r="G213" t="inlineStr">
        <is>
          <t>MARKARYD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61626-2023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46220</v>
      </c>
      <c r="F214" t="inlineStr">
        <is>
          <t>KRONOBERGS LÄN</t>
        </is>
      </c>
      <c r="G214" t="inlineStr">
        <is>
          <t>MARKARYD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61632-2023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46220</v>
      </c>
      <c r="F215" t="inlineStr">
        <is>
          <t>KRONOBERGS LÄN</t>
        </is>
      </c>
      <c r="G215" t="inlineStr">
        <is>
          <t>MARKARYD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47775-2023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46220</v>
      </c>
      <c r="F216" t="inlineStr">
        <is>
          <t>KRONOBERGS LÄN</t>
        </is>
      </c>
      <c r="G216" t="inlineStr">
        <is>
          <t>MARKARYD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12343-2024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46220</v>
      </c>
      <c r="F217" t="inlineStr">
        <is>
          <t>KRONOBERGS LÄN</t>
        </is>
      </c>
      <c r="G217" t="inlineStr">
        <is>
          <t>MARKARYD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42536-2023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46220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16219-2026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46220</v>
      </c>
      <c r="F219" t="inlineStr">
        <is>
          <t>KRONOBERGS LÄN</t>
        </is>
      </c>
      <c r="G219" t="inlineStr">
        <is>
          <t>MARKARYD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39057-2024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45547</v>
      </c>
      <c r="E220" s="1" t="n">
        <v>46220</v>
      </c>
      <c r="F220" t="inlineStr">
        <is>
          <t>KRONOBERGS LÄN</t>
        </is>
      </c>
      <c r="G220" t="inlineStr">
        <is>
          <t>MARKARYD</t>
        </is>
      </c>
      <c r="H220" t="inlineStr">
        <is>
          <t>Kyrkan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51065-2021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44461</v>
      </c>
      <c r="E221" s="1" t="n">
        <v>46220</v>
      </c>
      <c r="F221" t="inlineStr">
        <is>
          <t>KRONOBERGS LÄN</t>
        </is>
      </c>
      <c r="G221" t="inlineStr">
        <is>
          <t>MARKARYD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46220</v>
      </c>
      <c r="F222" t="inlineStr">
        <is>
          <t>KRONOBERGS LÄN</t>
        </is>
      </c>
      <c r="G222" t="inlineStr">
        <is>
          <t>MARKARYD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9276-2022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44616</v>
      </c>
      <c r="E223" s="1" t="n">
        <v>46220</v>
      </c>
      <c r="F223" t="inlineStr">
        <is>
          <t>KRONOBERGS LÄN</t>
        </is>
      </c>
      <c r="G223" t="inlineStr">
        <is>
          <t>MARKARYD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48828-2023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45209</v>
      </c>
      <c r="E224" s="1" t="n">
        <v>46220</v>
      </c>
      <c r="F224" t="inlineStr">
        <is>
          <t>KRONOBERGS LÄN</t>
        </is>
      </c>
      <c r="G224" t="inlineStr">
        <is>
          <t>MARKARYD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46220</v>
      </c>
      <c r="F225" t="inlineStr">
        <is>
          <t>KRONOBERGS LÄN</t>
        </is>
      </c>
      <c r="G225" t="inlineStr">
        <is>
          <t>MARKARYD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26795-2024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46220</v>
      </c>
      <c r="F226" t="inlineStr">
        <is>
          <t>KRONOBERGS LÄN</t>
        </is>
      </c>
      <c r="G226" t="inlineStr">
        <is>
          <t>MARKARYD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39483-2022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44818</v>
      </c>
      <c r="E227" s="1" t="n">
        <v>46220</v>
      </c>
      <c r="F227" t="inlineStr">
        <is>
          <t>KRONOBERGS LÄN</t>
        </is>
      </c>
      <c r="G227" t="inlineStr">
        <is>
          <t>MARKARYD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37884-2023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45160</v>
      </c>
      <c r="E228" s="1" t="n">
        <v>46220</v>
      </c>
      <c r="F228" t="inlineStr">
        <is>
          <t>KRONOBERGS LÄN</t>
        </is>
      </c>
      <c r="G228" t="inlineStr">
        <is>
          <t>MARKARYD</t>
        </is>
      </c>
      <c r="I228" t="n">
        <v>13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26549-2023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46220</v>
      </c>
      <c r="F229" t="inlineStr">
        <is>
          <t>KRONOBERGS LÄN</t>
        </is>
      </c>
      <c r="G229" t="inlineStr">
        <is>
          <t>MARKARYD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19439-2026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46220</v>
      </c>
      <c r="F230" t="inlineStr">
        <is>
          <t>KRONOBERGS LÄN</t>
        </is>
      </c>
      <c r="G230" t="inlineStr">
        <is>
          <t>MARKARYD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45678</v>
      </c>
      <c r="E231" s="1" t="n">
        <v>46220</v>
      </c>
      <c r="F231" t="inlineStr">
        <is>
          <t>KRONOBERGS LÄN</t>
        </is>
      </c>
      <c r="G231" t="inlineStr">
        <is>
          <t>MARKARYD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3139-2025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45678</v>
      </c>
      <c r="E232" s="1" t="n">
        <v>46220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46220</v>
      </c>
      <c r="F233" t="inlineStr">
        <is>
          <t>KRONOBERGS LÄN</t>
        </is>
      </c>
      <c r="G233" t="inlineStr">
        <is>
          <t>MARKARYD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19004-2026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46129</v>
      </c>
      <c r="E234" s="1" t="n">
        <v>46220</v>
      </c>
      <c r="F234" t="inlineStr">
        <is>
          <t>KRONOBERGS LÄN</t>
        </is>
      </c>
      <c r="G234" t="inlineStr">
        <is>
          <t>MARKARYD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40650-2024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45558</v>
      </c>
      <c r="E235" s="1" t="n">
        <v>46220</v>
      </c>
      <c r="F235" t="inlineStr">
        <is>
          <t>KRONOBERGS LÄN</t>
        </is>
      </c>
      <c r="G235" t="inlineStr">
        <is>
          <t>MARKARYD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19443-2026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46220</v>
      </c>
      <c r="F236" t="inlineStr">
        <is>
          <t>KRONOBERGS LÄN</t>
        </is>
      </c>
      <c r="G236" t="inlineStr">
        <is>
          <t>MARKARYD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43447-2022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44835</v>
      </c>
      <c r="E237" s="1" t="n">
        <v>46220</v>
      </c>
      <c r="F237" t="inlineStr">
        <is>
          <t>KRONOBERGS LÄN</t>
        </is>
      </c>
      <c r="G237" t="inlineStr">
        <is>
          <t>MARKARYD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62030-2023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46220</v>
      </c>
      <c r="F238" t="inlineStr">
        <is>
          <t>KRONOBERGS LÄN</t>
        </is>
      </c>
      <c r="G238" t="inlineStr">
        <is>
          <t>MARKARYD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64509-2023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45281</v>
      </c>
      <c r="E239" s="1" t="n">
        <v>46220</v>
      </c>
      <c r="F239" t="inlineStr">
        <is>
          <t>KRONOBERGS LÄN</t>
        </is>
      </c>
      <c r="G239" t="inlineStr">
        <is>
          <t>MARKARYD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32426-2024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45512</v>
      </c>
      <c r="E240" s="1" t="n">
        <v>46220</v>
      </c>
      <c r="F240" t="inlineStr">
        <is>
          <t>KRONOBERGS LÄN</t>
        </is>
      </c>
      <c r="G240" t="inlineStr">
        <is>
          <t>MARKARYD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19399-2024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45428</v>
      </c>
      <c r="E241" s="1" t="n">
        <v>46220</v>
      </c>
      <c r="F241" t="inlineStr">
        <is>
          <t>KRONOBERGS LÄN</t>
        </is>
      </c>
      <c r="G241" t="inlineStr">
        <is>
          <t>MARKARYD</t>
        </is>
      </c>
      <c r="H241" t="inlineStr">
        <is>
          <t>Kyrkan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42381-2024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45564</v>
      </c>
      <c r="E242" s="1" t="n">
        <v>46220</v>
      </c>
      <c r="F242" t="inlineStr">
        <is>
          <t>KRONOBERGS LÄN</t>
        </is>
      </c>
      <c r="G242" t="inlineStr">
        <is>
          <t>MARKARYD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23543-2023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46220</v>
      </c>
      <c r="F243" t="inlineStr">
        <is>
          <t>KRONOBERGS LÄN</t>
        </is>
      </c>
      <c r="G243" t="inlineStr">
        <is>
          <t>MARKARYD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32384-2025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45837</v>
      </c>
      <c r="E244" s="1" t="n">
        <v>46220</v>
      </c>
      <c r="F244" t="inlineStr">
        <is>
          <t>KRONOBERGS LÄN</t>
        </is>
      </c>
      <c r="G244" t="inlineStr">
        <is>
          <t>MARKARYD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23148-2023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46220</v>
      </c>
      <c r="F245" t="inlineStr">
        <is>
          <t>KRONOBERGS LÄN</t>
        </is>
      </c>
      <c r="G245" t="inlineStr">
        <is>
          <t>MARKARYD</t>
        </is>
      </c>
      <c r="H245" t="inlineStr">
        <is>
          <t>Övriga Aktiebolag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45680</v>
      </c>
      <c r="E246" s="1" t="n">
        <v>46220</v>
      </c>
      <c r="F246" t="inlineStr">
        <is>
          <t>KRONOBERGS LÄN</t>
        </is>
      </c>
      <c r="G246" t="inlineStr">
        <is>
          <t>MARKARYD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46220</v>
      </c>
      <c r="F247" t="inlineStr">
        <is>
          <t>KRONOBERGS LÄN</t>
        </is>
      </c>
      <c r="G247" t="inlineStr">
        <is>
          <t>MARKARYD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63537-2023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46220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40586-2022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46220</v>
      </c>
      <c r="F249" t="inlineStr">
        <is>
          <t>KRONOBERGS LÄN</t>
        </is>
      </c>
      <c r="G249" t="inlineStr">
        <is>
          <t>MARKARYD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45666</v>
      </c>
      <c r="E250" s="1" t="n">
        <v>46220</v>
      </c>
      <c r="F250" t="inlineStr">
        <is>
          <t>KRONOBERGS LÄN</t>
        </is>
      </c>
      <c r="G250" t="inlineStr">
        <is>
          <t>MARKARYD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37192-2023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45155</v>
      </c>
      <c r="E251" s="1" t="n">
        <v>46220</v>
      </c>
      <c r="F251" t="inlineStr">
        <is>
          <t>KRONOBERGS LÄN</t>
        </is>
      </c>
      <c r="G251" t="inlineStr">
        <is>
          <t>MARKARYD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12422-2023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44999</v>
      </c>
      <c r="E252" s="1" t="n">
        <v>46220</v>
      </c>
      <c r="F252" t="inlineStr">
        <is>
          <t>KRONOBERGS LÄN</t>
        </is>
      </c>
      <c r="G252" t="inlineStr">
        <is>
          <t>MARKARYD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2363-2022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44579</v>
      </c>
      <c r="E253" s="1" t="n">
        <v>46220</v>
      </c>
      <c r="F253" t="inlineStr">
        <is>
          <t>KRONOBERGS LÄN</t>
        </is>
      </c>
      <c r="G253" t="inlineStr">
        <is>
          <t>MARKARYD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15773-2024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46220</v>
      </c>
      <c r="F254" t="inlineStr">
        <is>
          <t>KRONOBERGS LÄN</t>
        </is>
      </c>
      <c r="G254" t="inlineStr">
        <is>
          <t>MARKARYD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46220</v>
      </c>
      <c r="F255" t="inlineStr">
        <is>
          <t>KRONOBERGS LÄN</t>
        </is>
      </c>
      <c r="G255" t="inlineStr">
        <is>
          <t>MARKARYD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64512-2023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45281</v>
      </c>
      <c r="E256" s="1" t="n">
        <v>46220</v>
      </c>
      <c r="F256" t="inlineStr">
        <is>
          <t>KRONOBERGS LÄN</t>
        </is>
      </c>
      <c r="G256" t="inlineStr">
        <is>
          <t>MARKARYD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17927-2023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45040</v>
      </c>
      <c r="E257" s="1" t="n">
        <v>46220</v>
      </c>
      <c r="F257" t="inlineStr">
        <is>
          <t>KRONOBERGS LÄN</t>
        </is>
      </c>
      <c r="G257" t="inlineStr">
        <is>
          <t>MARKARYD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24577-2025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46220</v>
      </c>
      <c r="F258" t="inlineStr">
        <is>
          <t>KRONOBERGS LÄN</t>
        </is>
      </c>
      <c r="G258" t="inlineStr">
        <is>
          <t>MARKARYD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24323-2023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45080</v>
      </c>
      <c r="E259" s="1" t="n">
        <v>46220</v>
      </c>
      <c r="F259" t="inlineStr">
        <is>
          <t>KRONOBERGS LÄN</t>
        </is>
      </c>
      <c r="G259" t="inlineStr">
        <is>
          <t>MARKARYD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15731-2023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45021</v>
      </c>
      <c r="E260" s="1" t="n">
        <v>46220</v>
      </c>
      <c r="F260" t="inlineStr">
        <is>
          <t>KRONOBERGS LÄN</t>
        </is>
      </c>
      <c r="G260" t="inlineStr">
        <is>
          <t>MARKARYD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51060-2021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44461</v>
      </c>
      <c r="E261" s="1" t="n">
        <v>46220</v>
      </c>
      <c r="F261" t="inlineStr">
        <is>
          <t>KRONOBERGS LÄN</t>
        </is>
      </c>
      <c r="G261" t="inlineStr">
        <is>
          <t>MARKARYD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11065-2023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44992</v>
      </c>
      <c r="E262" s="1" t="n">
        <v>46220</v>
      </c>
      <c r="F262" t="inlineStr">
        <is>
          <t>KRONOBERGS LÄN</t>
        </is>
      </c>
      <c r="G262" t="inlineStr">
        <is>
          <t>MARKARYD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28086-2024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45476</v>
      </c>
      <c r="E263" s="1" t="n">
        <v>46220</v>
      </c>
      <c r="F263" t="inlineStr">
        <is>
          <t>KRONOBERGS LÄN</t>
        </is>
      </c>
      <c r="G263" t="inlineStr">
        <is>
          <t>MARKARYD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33278-2023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46220</v>
      </c>
      <c r="F264" t="inlineStr">
        <is>
          <t>KRONOBERGS LÄN</t>
        </is>
      </c>
      <c r="G264" t="inlineStr">
        <is>
          <t>MARKARYD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61173-2021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44498</v>
      </c>
      <c r="E265" s="1" t="n">
        <v>46220</v>
      </c>
      <c r="F265" t="inlineStr">
        <is>
          <t>KRONOBERGS LÄN</t>
        </is>
      </c>
      <c r="G265" t="inlineStr">
        <is>
          <t>MARKARYD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11021-2024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45370</v>
      </c>
      <c r="E266" s="1" t="n">
        <v>46220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8939-2024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45357</v>
      </c>
      <c r="E267" s="1" t="n">
        <v>46220</v>
      </c>
      <c r="F267" t="inlineStr">
        <is>
          <t>KRONOBERGS LÄN</t>
        </is>
      </c>
      <c r="G267" t="inlineStr">
        <is>
          <t>MARKARYD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9617-2024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46220</v>
      </c>
      <c r="F268" t="inlineStr">
        <is>
          <t>KRONOBERGS LÄN</t>
        </is>
      </c>
      <c r="G268" t="inlineStr">
        <is>
          <t>MARKARYD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45275-2023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46220</v>
      </c>
      <c r="F269" t="inlineStr">
        <is>
          <t>KRONOBERGS LÄN</t>
        </is>
      </c>
      <c r="G269" t="inlineStr">
        <is>
          <t>MARKARYD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64854-2023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45282</v>
      </c>
      <c r="E270" s="1" t="n">
        <v>46220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16022-2023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45026</v>
      </c>
      <c r="E271" s="1" t="n">
        <v>46220</v>
      </c>
      <c r="F271" t="inlineStr">
        <is>
          <t>KRONOBERGS LÄN</t>
        </is>
      </c>
      <c r="G271" t="inlineStr">
        <is>
          <t>MARKARYD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50942-2023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46220</v>
      </c>
      <c r="F272" t="inlineStr">
        <is>
          <t>KRONOBERGS LÄN</t>
        </is>
      </c>
      <c r="G272" t="inlineStr">
        <is>
          <t>MARKARYD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35797-2024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46220</v>
      </c>
      <c r="F273" t="inlineStr">
        <is>
          <t>KRONOBERGS LÄN</t>
        </is>
      </c>
      <c r="G273" t="inlineStr">
        <is>
          <t>MARKARYD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31603-2023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45117</v>
      </c>
      <c r="E274" s="1" t="n">
        <v>46220</v>
      </c>
      <c r="F274" t="inlineStr">
        <is>
          <t>KRONOBERGS LÄN</t>
        </is>
      </c>
      <c r="G274" t="inlineStr">
        <is>
          <t>MARKARYD</t>
        </is>
      </c>
      <c r="H274" t="inlineStr">
        <is>
          <t>Naturvårdsverket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20571-2022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44700</v>
      </c>
      <c r="E275" s="1" t="n">
        <v>46220</v>
      </c>
      <c r="F275" t="inlineStr">
        <is>
          <t>KRONOBERGS LÄN</t>
        </is>
      </c>
      <c r="G275" t="inlineStr">
        <is>
          <t>MARKARYD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64776-2023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45281</v>
      </c>
      <c r="E276" s="1" t="n">
        <v>46220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56008-2023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46220</v>
      </c>
      <c r="F277" t="inlineStr">
        <is>
          <t>KRONOBERGS LÄN</t>
        </is>
      </c>
      <c r="G277" t="inlineStr">
        <is>
          <t>MARKARYD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56665-2024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45625</v>
      </c>
      <c r="E278" s="1" t="n">
        <v>46220</v>
      </c>
      <c r="F278" t="inlineStr">
        <is>
          <t>KRONOBERGS LÄN</t>
        </is>
      </c>
      <c r="G278" t="inlineStr">
        <is>
          <t>MARKARYD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46139-2023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45196</v>
      </c>
      <c r="E279" s="1" t="n">
        <v>46220</v>
      </c>
      <c r="F279" t="inlineStr">
        <is>
          <t>KRONOBERGS LÄN</t>
        </is>
      </c>
      <c r="G279" t="inlineStr">
        <is>
          <t>MARKARYD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58686-2022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44902</v>
      </c>
      <c r="E280" s="1" t="n">
        <v>46220</v>
      </c>
      <c r="F280" t="inlineStr">
        <is>
          <t>KRONOBERGS LÄN</t>
        </is>
      </c>
      <c r="G280" t="inlineStr">
        <is>
          <t>MARKARYD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62518-2023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45268</v>
      </c>
      <c r="E281" s="1" t="n">
        <v>46220</v>
      </c>
      <c r="F281" t="inlineStr">
        <is>
          <t>KRONOBERGS LÄN</t>
        </is>
      </c>
      <c r="G281" t="inlineStr">
        <is>
          <t>MARKARYD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45296</v>
      </c>
      <c r="E282" s="1" t="n">
        <v>46220</v>
      </c>
      <c r="F282" t="inlineStr">
        <is>
          <t>KRONOBERGS LÄN</t>
        </is>
      </c>
      <c r="G282" t="inlineStr">
        <is>
          <t>MARKARYD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33882-2022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44790</v>
      </c>
      <c r="E283" s="1" t="n">
        <v>46220</v>
      </c>
      <c r="F283" t="inlineStr">
        <is>
          <t>KRONOBERGS LÄN</t>
        </is>
      </c>
      <c r="G283" t="inlineStr">
        <is>
          <t>MARKARYD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3840-2022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44587</v>
      </c>
      <c r="E284" s="1" t="n">
        <v>46220</v>
      </c>
      <c r="F284" t="inlineStr">
        <is>
          <t>KRONOBERGS LÄN</t>
        </is>
      </c>
      <c r="G284" t="inlineStr">
        <is>
          <t>MARKARYD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27601-2026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46190</v>
      </c>
      <c r="E285" s="1" t="n">
        <v>46220</v>
      </c>
      <c r="F285" t="inlineStr">
        <is>
          <t>KRONOBERGS LÄN</t>
        </is>
      </c>
      <c r="G285" t="inlineStr">
        <is>
          <t>MARKARYD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25011-2023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46220</v>
      </c>
      <c r="F286" t="inlineStr">
        <is>
          <t>KRONOBERGS LÄN</t>
        </is>
      </c>
      <c r="G286" t="inlineStr">
        <is>
          <t>MARKARYD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61274-2021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46220</v>
      </c>
      <c r="F287" t="inlineStr">
        <is>
          <t>KRONOBERGS LÄN</t>
        </is>
      </c>
      <c r="G287" t="inlineStr">
        <is>
          <t>MARKARYD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27604-2026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46220</v>
      </c>
      <c r="F288" t="inlineStr">
        <is>
          <t>KRONOBERGS LÄN</t>
        </is>
      </c>
      <c r="G288" t="inlineStr">
        <is>
          <t>MARKARYD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6556-2022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46220</v>
      </c>
      <c r="F289" t="inlineStr">
        <is>
          <t>KRONOBERGS LÄN</t>
        </is>
      </c>
      <c r="G289" t="inlineStr">
        <is>
          <t>MARKARYD</t>
        </is>
      </c>
      <c r="H289" t="inlineStr">
        <is>
          <t>Kommuner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6561-2022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46220</v>
      </c>
      <c r="F290" t="inlineStr">
        <is>
          <t>KRONOBERGS LÄN</t>
        </is>
      </c>
      <c r="G290" t="inlineStr">
        <is>
          <t>MARKARYD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21670-2026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46149</v>
      </c>
      <c r="E291" s="1" t="n">
        <v>46220</v>
      </c>
      <c r="F291" t="inlineStr">
        <is>
          <t>KRONOBERGS LÄN</t>
        </is>
      </c>
      <c r="G291" t="inlineStr">
        <is>
          <t>MARKARYD</t>
        </is>
      </c>
      <c r="I291" t="n">
        <v>9.800000000000001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44572</v>
      </c>
      <c r="E292" s="1" t="n">
        <v>46220</v>
      </c>
      <c r="F292" t="inlineStr">
        <is>
          <t>KRONOBERGS LÄN</t>
        </is>
      </c>
      <c r="G292" t="inlineStr">
        <is>
          <t>MARKARYD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34921-2023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45141</v>
      </c>
      <c r="E293" s="1" t="n">
        <v>46220</v>
      </c>
      <c r="F293" t="inlineStr">
        <is>
          <t>KRONOBERGS LÄN</t>
        </is>
      </c>
      <c r="G293" t="inlineStr">
        <is>
          <t>MARKARYD</t>
        </is>
      </c>
      <c r="H293" t="inlineStr">
        <is>
          <t>Kyrkan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16429-2024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45407</v>
      </c>
      <c r="E294" s="1" t="n">
        <v>46220</v>
      </c>
      <c r="F294" t="inlineStr">
        <is>
          <t>KRONOBERGS LÄN</t>
        </is>
      </c>
      <c r="G294" t="inlineStr">
        <is>
          <t>MARKARYD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20001-2023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46220</v>
      </c>
      <c r="F295" t="inlineStr">
        <is>
          <t>KRONOBERGS LÄN</t>
        </is>
      </c>
      <c r="G295" t="inlineStr">
        <is>
          <t>MARKARYD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22156-2023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46220</v>
      </c>
      <c r="F296" t="inlineStr">
        <is>
          <t>KRONOBERGS LÄN</t>
        </is>
      </c>
      <c r="G296" t="inlineStr">
        <is>
          <t>MARKARYD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57437-2025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46220</v>
      </c>
      <c r="F297" t="inlineStr">
        <is>
          <t>KRONOBERGS LÄN</t>
        </is>
      </c>
      <c r="G297" t="inlineStr">
        <is>
          <t>MARKARYD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60813-2025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46220</v>
      </c>
      <c r="F298" t="inlineStr">
        <is>
          <t>KRONOBERGS LÄN</t>
        </is>
      </c>
      <c r="G298" t="inlineStr">
        <is>
          <t>MARKARYD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49274-2023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46220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22671-2026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46155</v>
      </c>
      <c r="E300" s="1" t="n">
        <v>46220</v>
      </c>
      <c r="F300" t="inlineStr">
        <is>
          <t>KRONOBERGS LÄN</t>
        </is>
      </c>
      <c r="G300" t="inlineStr">
        <is>
          <t>MARKARYD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7935-2025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45707</v>
      </c>
      <c r="E301" s="1" t="n">
        <v>46220</v>
      </c>
      <c r="F301" t="inlineStr">
        <is>
          <t>KRONOBERGS LÄN</t>
        </is>
      </c>
      <c r="G301" t="inlineStr">
        <is>
          <t>MARKARYD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64916-2023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45282</v>
      </c>
      <c r="E302" s="1" t="n">
        <v>46220</v>
      </c>
      <c r="F302" t="inlineStr">
        <is>
          <t>KRONOBERGS LÄN</t>
        </is>
      </c>
      <c r="G302" t="inlineStr">
        <is>
          <t>MARKARYD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48801-2024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45593</v>
      </c>
      <c r="E303" s="1" t="n">
        <v>46220</v>
      </c>
      <c r="F303" t="inlineStr">
        <is>
          <t>KRONOBERGS LÄN</t>
        </is>
      </c>
      <c r="G303" t="inlineStr">
        <is>
          <t>MARKARYD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69361-2021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44531</v>
      </c>
      <c r="E304" s="1" t="n">
        <v>46220</v>
      </c>
      <c r="F304" t="inlineStr">
        <is>
          <t>KRONOBERGS LÄN</t>
        </is>
      </c>
      <c r="G304" t="inlineStr">
        <is>
          <t>MARKARYD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39151-2023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46220</v>
      </c>
      <c r="F305" t="inlineStr">
        <is>
          <t>KRONOBERGS LÄN</t>
        </is>
      </c>
      <c r="G305" t="inlineStr">
        <is>
          <t>MARKARYD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20774-2026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46220</v>
      </c>
      <c r="F306" t="inlineStr">
        <is>
          <t>KRONOBERGS LÄN</t>
        </is>
      </c>
      <c r="G306" t="inlineStr">
        <is>
          <t>MARKARYD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45687</v>
      </c>
      <c r="E307" s="1" t="n">
        <v>46220</v>
      </c>
      <c r="F307" t="inlineStr">
        <is>
          <t>KRONOBERGS LÄN</t>
        </is>
      </c>
      <c r="G307" t="inlineStr">
        <is>
          <t>MARKARYD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32381-2025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45837</v>
      </c>
      <c r="E308" s="1" t="n">
        <v>46220</v>
      </c>
      <c r="F308" t="inlineStr">
        <is>
          <t>KRONOBERGS LÄN</t>
        </is>
      </c>
      <c r="G308" t="inlineStr">
        <is>
          <t>MARKARYD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45386-2022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44844</v>
      </c>
      <c r="E309" s="1" t="n">
        <v>46220</v>
      </c>
      <c r="F309" t="inlineStr">
        <is>
          <t>KRONOBERGS LÄN</t>
        </is>
      </c>
      <c r="G309" t="inlineStr">
        <is>
          <t>MARKARYD</t>
        </is>
      </c>
      <c r="H309" t="inlineStr">
        <is>
          <t>Sveaskog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11215-2024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45371</v>
      </c>
      <c r="E310" s="1" t="n">
        <v>46220</v>
      </c>
      <c r="F310" t="inlineStr">
        <is>
          <t>KRONOBERGS LÄN</t>
        </is>
      </c>
      <c r="G310" t="inlineStr">
        <is>
          <t>MARKARYD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53742-2023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45230</v>
      </c>
      <c r="E311" s="1" t="n">
        <v>46220</v>
      </c>
      <c r="F311" t="inlineStr">
        <is>
          <t>KRONOBERGS LÄN</t>
        </is>
      </c>
      <c r="G311" t="inlineStr">
        <is>
          <t>MARKARYD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23222-2026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46220</v>
      </c>
      <c r="F312" t="inlineStr">
        <is>
          <t>KRONOBERGS LÄN</t>
        </is>
      </c>
      <c r="G312" t="inlineStr">
        <is>
          <t>MARKARYD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23432-2026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46220</v>
      </c>
      <c r="F313" t="inlineStr">
        <is>
          <t>KRONOBERGS LÄN</t>
        </is>
      </c>
      <c r="G313" t="inlineStr">
        <is>
          <t>MARKARYD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59985-2023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46220</v>
      </c>
      <c r="F314" t="inlineStr">
        <is>
          <t>KRONOBERGS LÄN</t>
        </is>
      </c>
      <c r="G314" t="inlineStr">
        <is>
          <t>MARKARYD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25957-2023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45090</v>
      </c>
      <c r="E315" s="1" t="n">
        <v>46220</v>
      </c>
      <c r="F315" t="inlineStr">
        <is>
          <t>KRONOBERGS LÄN</t>
        </is>
      </c>
      <c r="G315" t="inlineStr">
        <is>
          <t>MARKARYD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50613-2023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45217</v>
      </c>
      <c r="E316" s="1" t="n">
        <v>46220</v>
      </c>
      <c r="F316" t="inlineStr">
        <is>
          <t>KRONOBERGS LÄN</t>
        </is>
      </c>
      <c r="G316" t="inlineStr">
        <is>
          <t>MARKARYD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11497-2024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45372</v>
      </c>
      <c r="E317" s="1" t="n">
        <v>46220</v>
      </c>
      <c r="F317" t="inlineStr">
        <is>
          <t>KRONOBERGS LÄN</t>
        </is>
      </c>
      <c r="G317" t="inlineStr">
        <is>
          <t>MARKARYD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30225-2026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46220</v>
      </c>
      <c r="F318" t="inlineStr">
        <is>
          <t>KRONOBERGS LÄN</t>
        </is>
      </c>
      <c r="G318" t="inlineStr">
        <is>
          <t>MARKARYD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45678</v>
      </c>
      <c r="E319" s="1" t="n">
        <v>46220</v>
      </c>
      <c r="F319" t="inlineStr">
        <is>
          <t>KRONOBERGS LÄN</t>
        </is>
      </c>
      <c r="G319" t="inlineStr">
        <is>
          <t>MARKARYD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2833-2022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44581</v>
      </c>
      <c r="E320" s="1" t="n">
        <v>46220</v>
      </c>
      <c r="F320" t="inlineStr">
        <is>
          <t>KRONOBERGS LÄN</t>
        </is>
      </c>
      <c r="G320" t="inlineStr">
        <is>
          <t>MARKARYD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73861-2021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44553</v>
      </c>
      <c r="E321" s="1" t="n">
        <v>46220</v>
      </c>
      <c r="F321" t="inlineStr">
        <is>
          <t>KRONOBERGS LÄN</t>
        </is>
      </c>
      <c r="G321" t="inlineStr">
        <is>
          <t>MARKARYD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37818-2022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44810</v>
      </c>
      <c r="E322" s="1" t="n">
        <v>46220</v>
      </c>
      <c r="F322" t="inlineStr">
        <is>
          <t>KRONOBERGS LÄN</t>
        </is>
      </c>
      <c r="G322" t="inlineStr">
        <is>
          <t>MARKARYD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1715-2025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46220</v>
      </c>
      <c r="F323" t="inlineStr">
        <is>
          <t>KRONOBERGS LÄN</t>
        </is>
      </c>
      <c r="G323" t="inlineStr">
        <is>
          <t>MARKARYD</t>
        </is>
      </c>
      <c r="I323" t="n">
        <v>10.9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7190-2024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45344</v>
      </c>
      <c r="E324" s="1" t="n">
        <v>46220</v>
      </c>
      <c r="F324" t="inlineStr">
        <is>
          <t>KRONOBERGS LÄN</t>
        </is>
      </c>
      <c r="G324" t="inlineStr">
        <is>
          <t>MARKARYD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46395-2022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44848</v>
      </c>
      <c r="E325" s="1" t="n">
        <v>46220</v>
      </c>
      <c r="F325" t="inlineStr">
        <is>
          <t>KRONOBERGS LÄN</t>
        </is>
      </c>
      <c r="G325" t="inlineStr">
        <is>
          <t>MARKARYD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30613-2026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46220</v>
      </c>
      <c r="F326" t="inlineStr">
        <is>
          <t>KRONOBERGS LÄN</t>
        </is>
      </c>
      <c r="G326" t="inlineStr">
        <is>
          <t>MARKARYD</t>
        </is>
      </c>
      <c r="H326" t="inlineStr">
        <is>
          <t>Kommuner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3146-2025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46220</v>
      </c>
      <c r="F327" t="inlineStr">
        <is>
          <t>KRONOBERGS LÄN</t>
        </is>
      </c>
      <c r="G327" t="inlineStr">
        <is>
          <t>MARKARYD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53505-2023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45230</v>
      </c>
      <c r="E328" s="1" t="n">
        <v>46220</v>
      </c>
      <c r="F328" t="inlineStr">
        <is>
          <t>KRONOBERGS LÄN</t>
        </is>
      </c>
      <c r="G328" t="inlineStr">
        <is>
          <t>MARKARYD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24191-2026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46168</v>
      </c>
      <c r="E329" s="1" t="n">
        <v>46220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52239-2021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44463</v>
      </c>
      <c r="E330" s="1" t="n">
        <v>46220</v>
      </c>
      <c r="F330" t="inlineStr">
        <is>
          <t>KRONOBERGS LÄN</t>
        </is>
      </c>
      <c r="G330" t="inlineStr">
        <is>
          <t>MARKARYD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60115-2023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46220</v>
      </c>
      <c r="F331" t="inlineStr">
        <is>
          <t>KRONOBERGS LÄN</t>
        </is>
      </c>
      <c r="G331" t="inlineStr">
        <is>
          <t>MARKARYD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24322-2023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45080</v>
      </c>
      <c r="E332" s="1" t="n">
        <v>46220</v>
      </c>
      <c r="F332" t="inlineStr">
        <is>
          <t>KRONOBERGS LÄN</t>
        </is>
      </c>
      <c r="G332" t="inlineStr">
        <is>
          <t>MARKARYD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9669-2023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46220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30931-2026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46213</v>
      </c>
      <c r="E334" s="1" t="n">
        <v>46220</v>
      </c>
      <c r="F334" t="inlineStr">
        <is>
          <t>KRONOBERGS LÄN</t>
        </is>
      </c>
      <c r="G334" t="inlineStr">
        <is>
          <t>MARKARYD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63718-2023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45275</v>
      </c>
      <c r="E335" s="1" t="n">
        <v>46220</v>
      </c>
      <c r="F335" t="inlineStr">
        <is>
          <t>KRONOBERGS LÄN</t>
        </is>
      </c>
      <c r="G335" t="inlineStr">
        <is>
          <t>MARKARYD</t>
        </is>
      </c>
      <c r="H335" t="inlineStr">
        <is>
          <t>Kyrkan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3533-2023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44950</v>
      </c>
      <c r="E336" s="1" t="n">
        <v>46220</v>
      </c>
      <c r="F336" t="inlineStr">
        <is>
          <t>KRONOBERGS LÄN</t>
        </is>
      </c>
      <c r="G336" t="inlineStr">
        <is>
          <t>MARKARYD</t>
        </is>
      </c>
      <c r="I336" t="n">
        <v>13.2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45681</v>
      </c>
      <c r="E337" s="1" t="n">
        <v>46220</v>
      </c>
      <c r="F337" t="inlineStr">
        <is>
          <t>KRONOBERGS LÄN</t>
        </is>
      </c>
      <c r="G337" t="inlineStr">
        <is>
          <t>MARKARYD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25096-2024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45462</v>
      </c>
      <c r="E338" s="1" t="n">
        <v>46220</v>
      </c>
      <c r="F338" t="inlineStr">
        <is>
          <t>KRONOBERGS LÄN</t>
        </is>
      </c>
      <c r="G338" t="inlineStr">
        <is>
          <t>MARKARYD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11470-2024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45372</v>
      </c>
      <c r="E339" s="1" t="n">
        <v>46220</v>
      </c>
      <c r="F339" t="inlineStr">
        <is>
          <t>KRONOBERGS LÄN</t>
        </is>
      </c>
      <c r="G339" t="inlineStr">
        <is>
          <t>MARKARYD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42850-2024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45566</v>
      </c>
      <c r="E340" s="1" t="n">
        <v>46220</v>
      </c>
      <c r="F340" t="inlineStr">
        <is>
          <t>KRONOBERGS LÄN</t>
        </is>
      </c>
      <c r="G340" t="inlineStr">
        <is>
          <t>MARKARYD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15275-2024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45400</v>
      </c>
      <c r="E341" s="1" t="n">
        <v>46220</v>
      </c>
      <c r="F341" t="inlineStr">
        <is>
          <t>KRONOBERGS LÄN</t>
        </is>
      </c>
      <c r="G341" t="inlineStr">
        <is>
          <t>MARKARYD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40852-2023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46220</v>
      </c>
      <c r="F342" t="inlineStr">
        <is>
          <t>KRONOBERGS LÄN</t>
        </is>
      </c>
      <c r="G342" t="inlineStr">
        <is>
          <t>MARKARYD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1654-2024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45306</v>
      </c>
      <c r="E343" s="1" t="n">
        <v>46220</v>
      </c>
      <c r="F343" t="inlineStr">
        <is>
          <t>KRONOBERGS LÄN</t>
        </is>
      </c>
      <c r="G343" t="inlineStr">
        <is>
          <t>MARKARYD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19116-2024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45428</v>
      </c>
      <c r="E344" s="1" t="n">
        <v>46220</v>
      </c>
      <c r="F344" t="inlineStr">
        <is>
          <t>KRONOBERGS LÄN</t>
        </is>
      </c>
      <c r="G344" t="inlineStr">
        <is>
          <t>MARKARYD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25160-2026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46175</v>
      </c>
      <c r="E345" s="1" t="n">
        <v>46220</v>
      </c>
      <c r="F345" t="inlineStr">
        <is>
          <t>KRONOBERGS LÄN</t>
        </is>
      </c>
      <c r="G345" t="inlineStr">
        <is>
          <t>MARKARYD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56824-2024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45628</v>
      </c>
      <c r="E346" s="1" t="n">
        <v>46220</v>
      </c>
      <c r="F346" t="inlineStr">
        <is>
          <t>KRONOBERGS LÄN</t>
        </is>
      </c>
      <c r="G346" t="inlineStr">
        <is>
          <t>MARKARYD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61625-2023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45265</v>
      </c>
      <c r="E347" s="1" t="n">
        <v>46220</v>
      </c>
      <c r="F347" t="inlineStr">
        <is>
          <t>KRONOBERGS LÄN</t>
        </is>
      </c>
      <c r="G347" t="inlineStr">
        <is>
          <t>MARKARYD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53487-2023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46220</v>
      </c>
      <c r="F348" t="inlineStr">
        <is>
          <t>KRONOBERGS LÄN</t>
        </is>
      </c>
      <c r="G348" t="inlineStr">
        <is>
          <t>MARKARYD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51905-2024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46220</v>
      </c>
      <c r="F349" t="inlineStr">
        <is>
          <t>KRONOBERGS LÄN</t>
        </is>
      </c>
      <c r="G349" t="inlineStr">
        <is>
          <t>MARKARYD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46111-2024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45581</v>
      </c>
      <c r="E350" s="1" t="n">
        <v>46220</v>
      </c>
      <c r="F350" t="inlineStr">
        <is>
          <t>KRONOBERGS LÄN</t>
        </is>
      </c>
      <c r="G350" t="inlineStr">
        <is>
          <t>MARKARYD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21696-2025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45783</v>
      </c>
      <c r="E351" s="1" t="n">
        <v>46220</v>
      </c>
      <c r="F351" t="inlineStr">
        <is>
          <t>KRONOBERGS LÄN</t>
        </is>
      </c>
      <c r="G351" t="inlineStr">
        <is>
          <t>MARKARYD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52501-2024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45609</v>
      </c>
      <c r="E352" s="1" t="n">
        <v>46220</v>
      </c>
      <c r="F352" t="inlineStr">
        <is>
          <t>KRONOBERGS LÄN</t>
        </is>
      </c>
      <c r="G352" t="inlineStr">
        <is>
          <t>MARKARYD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59262-2024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46220</v>
      </c>
      <c r="F353" t="inlineStr">
        <is>
          <t>KRONOBERGS LÄN</t>
        </is>
      </c>
      <c r="G353" t="inlineStr">
        <is>
          <t>MARKARYD</t>
        </is>
      </c>
      <c r="H353" t="inlineStr">
        <is>
          <t>Övriga Aktiebolag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59269-2024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45637</v>
      </c>
      <c r="E354" s="1" t="n">
        <v>46220</v>
      </c>
      <c r="F354" t="inlineStr">
        <is>
          <t>KRONOBERGS LÄN</t>
        </is>
      </c>
      <c r="G354" t="inlineStr">
        <is>
          <t>MARKARYD</t>
        </is>
      </c>
      <c r="H354" t="inlineStr">
        <is>
          <t>Övriga Aktiebolag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52497-2024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45609</v>
      </c>
      <c r="E355" s="1" t="n">
        <v>46220</v>
      </c>
      <c r="F355" t="inlineStr">
        <is>
          <t>KRONOBERGS LÄN</t>
        </is>
      </c>
      <c r="G355" t="inlineStr">
        <is>
          <t>MARKARYD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52554-2024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45609</v>
      </c>
      <c r="E356" s="1" t="n">
        <v>46220</v>
      </c>
      <c r="F356" t="inlineStr">
        <is>
          <t>KRONOBERGS LÄN</t>
        </is>
      </c>
      <c r="G356" t="inlineStr">
        <is>
          <t>MARKARYD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22131-2024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45444</v>
      </c>
      <c r="E357" s="1" t="n">
        <v>46220</v>
      </c>
      <c r="F357" t="inlineStr">
        <is>
          <t>KRONOBERGS LÄN</t>
        </is>
      </c>
      <c r="G357" t="inlineStr">
        <is>
          <t>MARKARYD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54196-2023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45232</v>
      </c>
      <c r="E358" s="1" t="n">
        <v>46220</v>
      </c>
      <c r="F358" t="inlineStr">
        <is>
          <t>KRONOBERGS LÄN</t>
        </is>
      </c>
      <c r="G358" t="inlineStr">
        <is>
          <t>MARKARYD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48796-2024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46220</v>
      </c>
      <c r="F359" t="inlineStr">
        <is>
          <t>KRONOBERGS LÄN</t>
        </is>
      </c>
      <c r="G359" t="inlineStr">
        <is>
          <t>MARKARYD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50155-2024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46220</v>
      </c>
      <c r="F360" t="inlineStr">
        <is>
          <t>KRONOBERGS LÄN</t>
        </is>
      </c>
      <c r="G360" t="inlineStr">
        <is>
          <t>MARKARYD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23436-2025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45792</v>
      </c>
      <c r="E361" s="1" t="n">
        <v>46220</v>
      </c>
      <c r="F361" t="inlineStr">
        <is>
          <t>KRONOBERGS LÄN</t>
        </is>
      </c>
      <c r="G361" t="inlineStr">
        <is>
          <t>MARKARYD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46220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46220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1202-2022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44621</v>
      </c>
      <c r="E364" s="1" t="n">
        <v>46220</v>
      </c>
      <c r="F364" t="inlineStr">
        <is>
          <t>KRONOBERGS LÄN</t>
        </is>
      </c>
      <c r="G364" t="inlineStr">
        <is>
          <t>MARKARYD</t>
        </is>
      </c>
      <c r="I364" t="n">
        <v>47.1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5959-2022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44858</v>
      </c>
      <c r="E365" s="1" t="n">
        <v>46220</v>
      </c>
      <c r="F365" t="inlineStr">
        <is>
          <t>KRONOBERGS LÄN</t>
        </is>
      </c>
      <c r="G365" t="inlineStr">
        <is>
          <t>MARKARYD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936-2023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45002</v>
      </c>
      <c r="E366" s="1" t="n">
        <v>46220</v>
      </c>
      <c r="F366" t="inlineStr">
        <is>
          <t>KRONOBERGS LÄN</t>
        </is>
      </c>
      <c r="G366" t="inlineStr">
        <is>
          <t>MARKARYD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2445-2024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45470</v>
      </c>
      <c r="E367" s="1" t="n">
        <v>46220</v>
      </c>
      <c r="F367" t="inlineStr">
        <is>
          <t>KRONOBERGS LÄN</t>
        </is>
      </c>
      <c r="G367" t="inlineStr">
        <is>
          <t>MARKARYD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704-2023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44978</v>
      </c>
      <c r="E368" s="1" t="n">
        <v>46220</v>
      </c>
      <c r="F368" t="inlineStr">
        <is>
          <t>KRONOBERGS LÄN</t>
        </is>
      </c>
      <c r="G368" t="inlineStr">
        <is>
          <t>MARKARYD</t>
        </is>
      </c>
      <c r="I368" t="n">
        <v>37.6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722-2025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45721</v>
      </c>
      <c r="E369" s="1" t="n">
        <v>46220</v>
      </c>
      <c r="F369" t="inlineStr">
        <is>
          <t>KRONOBERGS LÄN</t>
        </is>
      </c>
      <c r="G369" t="inlineStr">
        <is>
          <t>MARKARYD</t>
        </is>
      </c>
      <c r="I369" t="n">
        <v>14.6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1551-2025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45792</v>
      </c>
      <c r="E370" s="1" t="n">
        <v>46220</v>
      </c>
      <c r="F370" t="inlineStr">
        <is>
          <t>KRONOBERGS LÄN</t>
        </is>
      </c>
      <c r="G370" t="inlineStr">
        <is>
          <t>MARKARYD</t>
        </is>
      </c>
      <c r="I370" t="n">
        <v>21.5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1787-2025</t>
        </is>
      </c>
      <c r="B371" t="inlineStr">
        <is>
          <t>samrådsanmälan</t>
        </is>
      </c>
      <c r="C371" t="inlineStr">
        <is>
          <t>Annan skogsbruksåtgärd</t>
        </is>
      </c>
      <c r="D371" s="1" t="n">
        <v>45814</v>
      </c>
      <c r="E371" s="1" t="n">
        <v>46220</v>
      </c>
      <c r="F371" t="inlineStr">
        <is>
          <t>KRONOBERGS LÄN</t>
        </is>
      </c>
      <c r="G371" t="inlineStr">
        <is>
          <t>MARKARYD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2299-2025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45880</v>
      </c>
      <c r="E372" s="1" t="n">
        <v>46220</v>
      </c>
      <c r="F372" t="inlineStr">
        <is>
          <t>KRONOBERGS LÄN</t>
        </is>
      </c>
      <c r="G372" t="inlineStr">
        <is>
          <t>MARKARYD</t>
        </is>
      </c>
      <c r="I372" t="n">
        <v>25.1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>
      <c r="A373" t="inlineStr">
        <is>
          <t>S 253-2026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46049</v>
      </c>
      <c r="E373" s="1" t="n">
        <v>46220</v>
      </c>
      <c r="F373" t="inlineStr">
        <is>
          <t>KRONOBERGS LÄN</t>
        </is>
      </c>
      <c r="G373" t="inlineStr">
        <is>
          <t>MARKARYD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2026-07-17T01:43:07Z</dcterms:created>
  <dcterms:modified xmlns:dcterms="http://purl.org/dc/terms/" xmlns:xsi="http://www.w3.org/2001/XMLSchema-instance" xsi:type="dcterms:W3CDTF">2026-07-17T01:43:08Z</dcterms:modified>
</cp:coreProperties>
</file>