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S 1552-2025</t>
        </is>
      </c>
      <c r="B2" t="inlineStr">
        <is>
          <t>samrådsanmälan</t>
        </is>
      </c>
      <c r="C2" t="inlineStr">
        <is>
          <t>Askåterföring</t>
        </is>
      </c>
      <c r="D2" s="1" t="n">
        <v>45792</v>
      </c>
      <c r="E2" s="1" t="n">
        <v>46307</v>
      </c>
      <c r="F2" t="inlineStr">
        <is>
          <t>KRONOBERGS LÄN</t>
        </is>
      </c>
      <c r="G2" t="inlineStr">
        <is>
          <t>MARKARYD</t>
        </is>
      </c>
      <c r="I2" t="n">
        <v>42.4</v>
      </c>
      <c r="J2" t="n">
        <v>3</v>
      </c>
      <c r="K2" t="n">
        <v>5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8</v>
      </c>
      <c r="T2" t="n">
        <v>10</v>
      </c>
      <c r="U2" t="n">
        <v>8</v>
      </c>
      <c r="V2" s="2" t="inlineStr">
        <is>
          <t>Entita
Fällmossa
Havstulpanlav
Klippfrullania
Mönjevaxing
Platt fjädermossa
Spillkråka
Tjäder</t>
        </is>
      </c>
      <c r="W2">
        <f>HYPERLINK("https://klasma.github.io/Logging_0767/artfynd/S 1552-2025 artfynd.xlsx", "S 1552-2025")</f>
        <v/>
      </c>
      <c r="X2">
        <f>HYPERLINK("https://klasma.github.io/Logging_0767/kartor/S 1552-2025 karta.png", "S 1552-2025")</f>
        <v/>
      </c>
      <c r="Y2">
        <f>HYPERLINK("https://klasma.github.io/Logging_0767/kartor_geotiff/S 1552-2025 georefererad karta.tif", "S 1552-2025")</f>
        <v/>
      </c>
      <c r="AA2">
        <f>HYPERLINK("https://klasma.github.io/Logging_0767/klagomål/S 1552-2025 FSC-klagomål.docx", "S 1552-2025")</f>
        <v/>
      </c>
      <c r="AB2">
        <f>HYPERLINK("https://klasma.github.io/Logging_0767/klagomålsmail/S 1552-2025 FSC-klagomål mail.docx", "S 1552-2025")</f>
        <v/>
      </c>
      <c r="AC2">
        <f>HYPERLINK("https://klasma.github.io/Logging_0767/tillsyn/S 1552-2025 tillsynsbegäran.docx", "S 1552-2025")</f>
        <v/>
      </c>
      <c r="AD2">
        <f>HYPERLINK("https://klasma.github.io/Logging_0767/tillsynsmail/S 1552-2025 tillsynsbegäran mail.docx", "S 1552-2025")</f>
        <v/>
      </c>
      <c r="AE2">
        <f>HYPERLINK("https://klasma.github.io/Logging_0767/fåglar/S 1552-2025 prioriterade fågelarter.docx", "S 1552-2025")</f>
        <v/>
      </c>
    </row>
    <row r="3" ht="15" customHeight="1">
      <c r="A3" t="inlineStr">
        <is>
          <t>S 4948-2024</t>
        </is>
      </c>
      <c r="B3" t="inlineStr">
        <is>
          <t>samrådsanmälan</t>
        </is>
      </c>
      <c r="C3" t="inlineStr">
        <is>
          <t>Annan skogsbruksåtgärd</t>
        </is>
      </c>
      <c r="D3" s="1" t="n">
        <v>45628</v>
      </c>
      <c r="E3" s="1" t="n">
        <v>46307</v>
      </c>
      <c r="F3" t="inlineStr">
        <is>
          <t>KRONOBERGS LÄN</t>
        </is>
      </c>
      <c r="G3" t="inlineStr">
        <is>
          <t>MARKARYD</t>
        </is>
      </c>
      <c r="I3" t="n">
        <v>1.3</v>
      </c>
      <c r="J3" t="n">
        <v>0</v>
      </c>
      <c r="K3" t="n">
        <v>5</v>
      </c>
      <c r="L3" t="n">
        <v>2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0</v>
      </c>
      <c r="S3" t="n">
        <v>7</v>
      </c>
      <c r="T3" t="n">
        <v>37</v>
      </c>
      <c r="U3" t="n">
        <v>0</v>
      </c>
      <c r="V3" s="2" t="inlineStr">
        <is>
          <t>Bokvårtlav
Koralltaggsvamp
Bokfjädermossa
Guldlockmossa
Havstulpanlav
Korallblylav
Stor knopplav</t>
        </is>
      </c>
      <c r="W3">
        <f>HYPERLINK("https://klasma.github.io/Logging_0767/artfynd/S 4948-2024 artfynd.xlsx", "S 4948-2024")</f>
        <v/>
      </c>
      <c r="X3">
        <f>HYPERLINK("https://klasma.github.io/Logging_0767/kartor/S 4948-2024 karta.png", "S 4948-2024")</f>
        <v/>
      </c>
      <c r="Y3">
        <f>HYPERLINK("https://klasma.github.io/Logging_0767/kartor_geotiff/S 4948-2024 georefererad karta.tif", "S 4948-2024")</f>
        <v/>
      </c>
      <c r="AA3">
        <f>HYPERLINK("https://klasma.github.io/Logging_0767/klagomål/S 4948-2024 FSC-klagomål.docx", "S 4948-2024")</f>
        <v/>
      </c>
      <c r="AB3">
        <f>HYPERLINK("https://klasma.github.io/Logging_0767/klagomålsmail/S 4948-2024 FSC-klagomål mail.docx", "S 4948-2024")</f>
        <v/>
      </c>
      <c r="AC3">
        <f>HYPERLINK("https://klasma.github.io/Logging_0767/tillsyn/S 4948-2024 tillsynsbegäran.docx", "S 4948-2024")</f>
        <v/>
      </c>
      <c r="AD3">
        <f>HYPERLINK("https://klasma.github.io/Logging_0767/tillsynsmail/S 4948-2024 tillsynsbegäran mail.docx", "S 4948-2024")</f>
        <v/>
      </c>
    </row>
    <row r="4" ht="15" customHeight="1">
      <c r="A4" t="inlineStr">
        <is>
          <t>A 27619-2022</t>
        </is>
      </c>
      <c r="B4" t="inlineStr">
        <is>
          <t>avverkningsanmälan</t>
        </is>
      </c>
      <c r="C4" t="inlineStr">
        <is>
          <t>Avverkning för annat ändamål</t>
        </is>
      </c>
      <c r="D4" s="1" t="n">
        <v>44743</v>
      </c>
      <c r="E4" s="1" t="n">
        <v>46307</v>
      </c>
      <c r="F4" t="inlineStr">
        <is>
          <t>KRONOBERGS LÄN</t>
        </is>
      </c>
      <c r="G4" t="inlineStr">
        <is>
          <t>MARKARYD</t>
        </is>
      </c>
      <c r="I4" t="n">
        <v>25.7</v>
      </c>
      <c r="J4" t="n">
        <v>3</v>
      </c>
      <c r="K4" t="n">
        <v>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</v>
      </c>
      <c r="T4" t="n">
        <v>5</v>
      </c>
      <c r="U4" t="n">
        <v>1</v>
      </c>
      <c r="V4" s="2" t="inlineStr">
        <is>
          <t>Blanksvart trämyra
Västlig hakmossa
Kungsfågel
Sångsvan
Huggorm</t>
        </is>
      </c>
      <c r="W4">
        <f>HYPERLINK("https://klasma.github.io/Logging_0767/artfynd/A 27619-2022 artfynd.xlsx", "A 27619-2022")</f>
        <v/>
      </c>
      <c r="X4">
        <f>HYPERLINK("https://klasma.github.io/Logging_0767/kartor/A 27619-2022 karta.png", "A 27619-2022")</f>
        <v/>
      </c>
      <c r="Y4">
        <f>HYPERLINK("https://klasma.github.io/Logging_0767/kartor_geotiff/A 27619-2022 georefererad karta.tif", "A 27619-2022")</f>
        <v/>
      </c>
      <c r="AA4">
        <f>HYPERLINK("https://klasma.github.io/Logging_0767/klagomål/A 27619-2022 FSC-klagomål.docx", "A 27619-2022")</f>
        <v/>
      </c>
      <c r="AB4">
        <f>HYPERLINK("https://klasma.github.io/Logging_0767/klagomålsmail/A 27619-2022 FSC-klagomål mail.docx", "A 27619-2022")</f>
        <v/>
      </c>
      <c r="AC4">
        <f>HYPERLINK("https://klasma.github.io/Logging_0767/tillsyn/A 27619-2022 tillsynsbegäran.docx", "A 27619-2022")</f>
        <v/>
      </c>
      <c r="AD4">
        <f>HYPERLINK("https://klasma.github.io/Logging_0767/tillsynsmail/A 27619-2022 tillsynsbegäran mail.docx", "A 27619-2022")</f>
        <v/>
      </c>
      <c r="AE4">
        <f>HYPERLINK("https://klasma.github.io/Logging_0767/fåglar/A 27619-2022 prioriterade fågelarter.docx", "A 27619-2022")</f>
        <v/>
      </c>
    </row>
    <row r="5" ht="15" customHeight="1">
      <c r="A5" t="inlineStr">
        <is>
          <t>A 39507-2022</t>
        </is>
      </c>
      <c r="B5" t="inlineStr">
        <is>
          <t>avverkningsanmälan</t>
        </is>
      </c>
      <c r="C5" t="inlineStr">
        <is>
          <t>Avverkning för annat ändamål</t>
        </is>
      </c>
      <c r="D5" s="1" t="n">
        <v>44818</v>
      </c>
      <c r="E5" s="1" t="n">
        <v>46307</v>
      </c>
      <c r="F5" t="inlineStr">
        <is>
          <t>KRONOBERGS LÄN</t>
        </is>
      </c>
      <c r="G5" t="inlineStr">
        <is>
          <t>MARKARYD</t>
        </is>
      </c>
      <c r="H5" t="inlineStr">
        <is>
          <t>Kommuner</t>
        </is>
      </c>
      <c r="I5" t="n">
        <v>12.5</v>
      </c>
      <c r="J5" t="n">
        <v>0</v>
      </c>
      <c r="K5" t="n">
        <v>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</v>
      </c>
      <c r="T5" t="n">
        <v>22</v>
      </c>
      <c r="U5" t="n">
        <v>0</v>
      </c>
      <c r="V5" s="2" t="inlineStr">
        <is>
          <t>Fällmossa
Havstulpanlav
Klippfrullania</t>
        </is>
      </c>
      <c r="W5">
        <f>HYPERLINK("https://klasma.github.io/Logging_0767/artfynd/A 39507-2022 artfynd.xlsx", "A 39507-2022")</f>
        <v/>
      </c>
      <c r="X5">
        <f>HYPERLINK("https://klasma.github.io/Logging_0767/kartor/A 39507-2022 karta.png", "A 39507-2022")</f>
        <v/>
      </c>
      <c r="Y5">
        <f>HYPERLINK("https://klasma.github.io/Logging_0767/kartor_geotiff/A 39507-2022 georefererad karta.tif", "A 39507-2022")</f>
        <v/>
      </c>
      <c r="AA5">
        <f>HYPERLINK("https://klasma.github.io/Logging_0767/klagomål/A 39507-2022 FSC-klagomål.docx", "A 39507-2022")</f>
        <v/>
      </c>
      <c r="AB5">
        <f>HYPERLINK("https://klasma.github.io/Logging_0767/klagomålsmail/A 39507-2022 FSC-klagomål mail.docx", "A 39507-2022")</f>
        <v/>
      </c>
      <c r="AC5">
        <f>HYPERLINK("https://klasma.github.io/Logging_0767/tillsyn/A 39507-2022 tillsynsbegäran.docx", "A 39507-2022")</f>
        <v/>
      </c>
      <c r="AD5">
        <f>HYPERLINK("https://klasma.github.io/Logging_0767/tillsynsmail/A 39507-2022 tillsynsbegäran mail.docx", "A 39507-2022")</f>
        <v/>
      </c>
    </row>
    <row r="6" ht="15" customHeight="1">
      <c r="A6" t="inlineStr">
        <is>
          <t>A 51195-2023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45219</v>
      </c>
      <c r="E6" s="1" t="n">
        <v>46307</v>
      </c>
      <c r="F6" t="inlineStr">
        <is>
          <t>KRONOBERGS LÄN</t>
        </is>
      </c>
      <c r="G6" t="inlineStr">
        <is>
          <t>MARKARYD</t>
        </is>
      </c>
      <c r="I6" t="n">
        <v>1.6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2</v>
      </c>
      <c r="T6" t="n">
        <v>2</v>
      </c>
      <c r="U6" t="n">
        <v>2</v>
      </c>
      <c r="V6" s="2" t="inlineStr">
        <is>
          <t>Jungfrulin
Spindelblomster</t>
        </is>
      </c>
      <c r="W6">
        <f>HYPERLINK("https://klasma.github.io/Logging_0767/artfynd/A 51195-2023 artfynd.xlsx", "A 51195-2023")</f>
        <v/>
      </c>
      <c r="X6">
        <f>HYPERLINK("https://klasma.github.io/Logging_0767/kartor/A 51195-2023 karta.png", "A 51195-2023")</f>
        <v/>
      </c>
      <c r="Y6">
        <f>HYPERLINK("https://klasma.github.io/Logging_0767/kartor_geotiff/A 51195-2023 georefererad karta.tif", "A 51195-2023")</f>
        <v/>
      </c>
      <c r="AA6">
        <f>HYPERLINK("https://klasma.github.io/Logging_0767/klagomål/A 51195-2023 FSC-klagomål.docx", "A 51195-2023")</f>
        <v/>
      </c>
      <c r="AB6">
        <f>HYPERLINK("https://klasma.github.io/Logging_0767/klagomålsmail/A 51195-2023 FSC-klagomål mail.docx", "A 51195-2023")</f>
        <v/>
      </c>
      <c r="AC6">
        <f>HYPERLINK("https://klasma.github.io/Logging_0767/tillsyn/A 51195-2023 tillsynsbegäran.docx", "A 51195-2023")</f>
        <v/>
      </c>
      <c r="AD6">
        <f>HYPERLINK("https://klasma.github.io/Logging_0767/tillsynsmail/A 51195-2023 tillsynsbegäran mail.docx", "A 51195-2023")</f>
        <v/>
      </c>
    </row>
    <row r="7" ht="15" customHeight="1">
      <c r="A7" t="inlineStr">
        <is>
          <t>A 39508-2022</t>
        </is>
      </c>
      <c r="B7" t="inlineStr">
        <is>
          <t>avverkningsanmälan</t>
        </is>
      </c>
      <c r="C7" t="inlineStr">
        <is>
          <t>Avverkning för annat ändamål</t>
        </is>
      </c>
      <c r="D7" s="1" t="n">
        <v>44818</v>
      </c>
      <c r="E7" s="1" t="n">
        <v>46307</v>
      </c>
      <c r="F7" t="inlineStr">
        <is>
          <t>KRONOBERGS LÄN</t>
        </is>
      </c>
      <c r="G7" t="inlineStr">
        <is>
          <t>MARKARYD</t>
        </is>
      </c>
      <c r="H7" t="inlineStr">
        <is>
          <t>Kommuner</t>
        </is>
      </c>
      <c r="I7" t="n">
        <v>45.6</v>
      </c>
      <c r="J7" t="n">
        <v>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</v>
      </c>
      <c r="T7" t="n">
        <v>2</v>
      </c>
      <c r="U7" t="n">
        <v>2</v>
      </c>
      <c r="V7" s="2" t="inlineStr">
        <is>
          <t>Kråka
Röd glada</t>
        </is>
      </c>
      <c r="W7">
        <f>HYPERLINK("https://klasma.github.io/Logging_0767/artfynd/A 39508-2022 artfynd.xlsx", "A 39508-2022")</f>
        <v/>
      </c>
      <c r="X7">
        <f>HYPERLINK("https://klasma.github.io/Logging_0767/kartor/A 39508-2022 karta.png", "A 39508-2022")</f>
        <v/>
      </c>
      <c r="Y7">
        <f>HYPERLINK("https://klasma.github.io/Logging_0767/kartor_geotiff/A 39508-2022 georefererad karta.tif", "A 39508-2022")</f>
        <v/>
      </c>
      <c r="AA7">
        <f>HYPERLINK("https://klasma.github.io/Logging_0767/klagomål/A 39508-2022 FSC-klagomål.docx", "A 39508-2022")</f>
        <v/>
      </c>
      <c r="AB7">
        <f>HYPERLINK("https://klasma.github.io/Logging_0767/klagomålsmail/A 39508-2022 FSC-klagomål mail.docx", "A 39508-2022")</f>
        <v/>
      </c>
      <c r="AC7">
        <f>HYPERLINK("https://klasma.github.io/Logging_0767/tillsyn/A 39508-2022 tillsynsbegäran.docx", "A 39508-2022")</f>
        <v/>
      </c>
      <c r="AD7">
        <f>HYPERLINK("https://klasma.github.io/Logging_0767/tillsynsmail/A 39508-2022 tillsynsbegäran mail.docx", "A 39508-2022")</f>
        <v/>
      </c>
      <c r="AE7">
        <f>HYPERLINK("https://klasma.github.io/Logging_0767/fåglar/A 39508-2022 prioriterade fågelarter.docx", "A 39508-2022")</f>
        <v/>
      </c>
    </row>
    <row r="8" ht="15" customHeight="1">
      <c r="A8" t="inlineStr">
        <is>
          <t>A 23288-2024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45453</v>
      </c>
      <c r="E8" s="1" t="n">
        <v>46307</v>
      </c>
      <c r="F8" t="inlineStr">
        <is>
          <t>KRONOBERGS LÄN</t>
        </is>
      </c>
      <c r="G8" t="inlineStr">
        <is>
          <t>MARKARYD</t>
        </is>
      </c>
      <c r="I8" t="n">
        <v>2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s="2" t="inlineStr">
        <is>
          <t>Spillkråka</t>
        </is>
      </c>
      <c r="W8">
        <f>HYPERLINK("https://klasma.github.io/Logging_0767/artfynd/A 23288-2024 artfynd.xlsx", "A 23288-2024")</f>
        <v/>
      </c>
      <c r="X8">
        <f>HYPERLINK("https://klasma.github.io/Logging_0767/kartor/A 23288-2024 karta.png", "A 23288-2024")</f>
        <v/>
      </c>
      <c r="Y8">
        <f>HYPERLINK("https://klasma.github.io/Logging_0767/kartor_geotiff/A 23288-2024 georefererad karta.tif", "A 23288-2024")</f>
        <v/>
      </c>
      <c r="AA8">
        <f>HYPERLINK("https://klasma.github.io/Logging_0767/klagomål/A 23288-2024 FSC-klagomål.docx", "A 23288-2024")</f>
        <v/>
      </c>
      <c r="AB8">
        <f>HYPERLINK("https://klasma.github.io/Logging_0767/klagomålsmail/A 23288-2024 FSC-klagomål mail.docx", "A 23288-2024")</f>
        <v/>
      </c>
      <c r="AC8">
        <f>HYPERLINK("https://klasma.github.io/Logging_0767/tillsyn/A 23288-2024 tillsynsbegäran.docx", "A 23288-2024")</f>
        <v/>
      </c>
      <c r="AD8">
        <f>HYPERLINK("https://klasma.github.io/Logging_0767/tillsynsmail/A 23288-2024 tillsynsbegäran mail.docx", "A 23288-2024")</f>
        <v/>
      </c>
      <c r="AE8">
        <f>HYPERLINK("https://klasma.github.io/Logging_0767/fåglar/A 23288-2024 prioriterade fågelarter.docx", "A 23288-2024")</f>
        <v/>
      </c>
    </row>
    <row r="9" ht="15" customHeight="1">
      <c r="A9" t="inlineStr">
        <is>
          <t>A 7501-2024</t>
        </is>
      </c>
      <c r="B9" t="inlineStr">
        <is>
          <t>avverkningsanmälan</t>
        </is>
      </c>
      <c r="C9" t="inlineStr">
        <is>
          <t>Avverkning för annat ändamål</t>
        </is>
      </c>
      <c r="D9" s="1" t="n">
        <v>45347</v>
      </c>
      <c r="E9" s="1" t="n">
        <v>46307</v>
      </c>
      <c r="F9" t="inlineStr">
        <is>
          <t>KRONOBERGS LÄN</t>
        </is>
      </c>
      <c r="G9" t="inlineStr">
        <is>
          <t>MARKARYD</t>
        </is>
      </c>
      <c r="I9" t="n">
        <v>15.1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1</v>
      </c>
      <c r="U9" t="n">
        <v>0</v>
      </c>
      <c r="V9" s="2" t="inlineStr">
        <is>
          <t>Västlig hakmossa</t>
        </is>
      </c>
      <c r="W9">
        <f>HYPERLINK("https://klasma.github.io/Logging_0767/artfynd/A 7501-2024 artfynd.xlsx", "A 7501-2024")</f>
        <v/>
      </c>
      <c r="X9">
        <f>HYPERLINK("https://klasma.github.io/Logging_0767/kartor/A 7501-2024 karta.png", "A 7501-2024")</f>
        <v/>
      </c>
      <c r="Y9">
        <f>HYPERLINK("https://klasma.github.io/Logging_0767/kartor_geotiff/A 7501-2024 georefererad karta.tif", "A 7501-2024")</f>
        <v/>
      </c>
      <c r="AA9">
        <f>HYPERLINK("https://klasma.github.io/Logging_0767/klagomål/A 7501-2024 FSC-klagomål.docx", "A 7501-2024")</f>
        <v/>
      </c>
      <c r="AB9">
        <f>HYPERLINK("https://klasma.github.io/Logging_0767/klagomålsmail/A 7501-2024 FSC-klagomål mail.docx", "A 7501-2024")</f>
        <v/>
      </c>
      <c r="AC9">
        <f>HYPERLINK("https://klasma.github.io/Logging_0767/tillsyn/A 7501-2024 tillsynsbegäran.docx", "A 7501-2024")</f>
        <v/>
      </c>
      <c r="AD9">
        <f>HYPERLINK("https://klasma.github.io/Logging_0767/tillsynsmail/A 7501-2024 tillsynsbegäran mail.docx", "A 7501-2024")</f>
        <v/>
      </c>
    </row>
    <row r="10" ht="15" customHeight="1">
      <c r="A10" t="inlineStr">
        <is>
          <t>A 73863-2021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44553</v>
      </c>
      <c r="E10" s="1" t="n">
        <v>46307</v>
      </c>
      <c r="F10" t="inlineStr">
        <is>
          <t>KRONOBERGS LÄN</t>
        </is>
      </c>
      <c r="G10" t="inlineStr">
        <is>
          <t>MARKARYD</t>
        </is>
      </c>
      <c r="I10" t="n">
        <v>1.4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1</v>
      </c>
      <c r="U10" t="n">
        <v>1</v>
      </c>
      <c r="V10" s="2" t="inlineStr">
        <is>
          <t>Lopplummer (aggregat)</t>
        </is>
      </c>
      <c r="W10">
        <f>HYPERLINK("https://klasma.github.io/Logging_0767/artfynd/A 73863-2021 artfynd.xlsx", "A 73863-2021")</f>
        <v/>
      </c>
      <c r="X10">
        <f>HYPERLINK("https://klasma.github.io/Logging_0767/kartor/A 73863-2021 karta.png", "A 73863-2021")</f>
        <v/>
      </c>
      <c r="Y10">
        <f>HYPERLINK("https://klasma.github.io/Logging_0767/kartor_geotiff/A 73863-2021 georefererad karta.tif", "A 73863-2021")</f>
        <v/>
      </c>
      <c r="AA10">
        <f>HYPERLINK("https://klasma.github.io/Logging_0767/klagomål/A 73863-2021 FSC-klagomål.docx", "A 73863-2021")</f>
        <v/>
      </c>
      <c r="AB10">
        <f>HYPERLINK("https://klasma.github.io/Logging_0767/klagomålsmail/A 73863-2021 FSC-klagomål mail.docx", "A 73863-2021")</f>
        <v/>
      </c>
      <c r="AC10">
        <f>HYPERLINK("https://klasma.github.io/Logging_0767/tillsyn/A 73863-2021 tillsynsbegäran.docx", "A 73863-2021")</f>
        <v/>
      </c>
      <c r="AD10">
        <f>HYPERLINK("https://klasma.github.io/Logging_0767/tillsynsmail/A 73863-2021 tillsynsbegäran mail.docx", "A 73863-2021")</f>
        <v/>
      </c>
    </row>
    <row r="11" ht="15" customHeight="1">
      <c r="A11" t="inlineStr">
        <is>
          <t>A 62519-2023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45268</v>
      </c>
      <c r="E11" s="1" t="n">
        <v>46307</v>
      </c>
      <c r="F11" t="inlineStr">
        <is>
          <t>KRONOBERGS LÄN</t>
        </is>
      </c>
      <c r="G11" t="inlineStr">
        <is>
          <t>MARKARYD</t>
        </is>
      </c>
      <c r="H11" t="inlineStr">
        <is>
          <t>Sveaskog</t>
        </is>
      </c>
      <c r="I11" t="n">
        <v>4.7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0</v>
      </c>
      <c r="V11" s="2" t="inlineStr">
        <is>
          <t>Tjäder</t>
        </is>
      </c>
      <c r="W11">
        <f>HYPERLINK("https://klasma.github.io/Logging_0767/artfynd/A 62519-2023 artfynd.xlsx", "A 62519-2023")</f>
        <v/>
      </c>
      <c r="X11">
        <f>HYPERLINK("https://klasma.github.io/Logging_0767/kartor/A 62519-2023 karta.png", "A 62519-2023")</f>
        <v/>
      </c>
      <c r="Y11">
        <f>HYPERLINK("https://klasma.github.io/Logging_0767/kartor_geotiff/A 62519-2023 georefererad karta.tif", "A 62519-2023")</f>
        <v/>
      </c>
      <c r="AA11">
        <f>HYPERLINK("https://klasma.github.io/Logging_0767/klagomål/A 62519-2023 FSC-klagomål.docx", "A 62519-2023")</f>
        <v/>
      </c>
      <c r="AB11">
        <f>HYPERLINK("https://klasma.github.io/Logging_0767/klagomålsmail/A 62519-2023 FSC-klagomål mail.docx", "A 62519-2023")</f>
        <v/>
      </c>
      <c r="AC11">
        <f>HYPERLINK("https://klasma.github.io/Logging_0767/tillsyn/A 62519-2023 tillsynsbegäran.docx", "A 62519-2023")</f>
        <v/>
      </c>
      <c r="AD11">
        <f>HYPERLINK("https://klasma.github.io/Logging_0767/tillsynsmail/A 62519-2023 tillsynsbegäran mail.docx", "A 62519-2023")</f>
        <v/>
      </c>
      <c r="AE11">
        <f>HYPERLINK("https://klasma.github.io/Logging_0767/fåglar/A 62519-2023 prioriterade fågelarter.docx", "A 62519-2023")</f>
        <v/>
      </c>
    </row>
    <row r="12" ht="15" customHeight="1">
      <c r="A12" t="inlineStr">
        <is>
          <t>A 29201-2025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45823</v>
      </c>
      <c r="E12" s="1" t="n">
        <v>46307</v>
      </c>
      <c r="F12" t="inlineStr">
        <is>
          <t>KRONOBERGS LÄN</t>
        </is>
      </c>
      <c r="G12" t="inlineStr">
        <is>
          <t>MARKARYD</t>
        </is>
      </c>
      <c r="I12" t="n">
        <v>1.7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1</v>
      </c>
      <c r="U12" t="n">
        <v>1</v>
      </c>
      <c r="V12" s="2" t="inlineStr">
        <is>
          <t>Fläcknycklar</t>
        </is>
      </c>
      <c r="W12">
        <f>HYPERLINK("https://klasma.github.io/Logging_0767/artfynd/A 29201-2025 artfynd.xlsx", "A 29201-2025")</f>
        <v/>
      </c>
      <c r="X12">
        <f>HYPERLINK("https://klasma.github.io/Logging_0767/kartor/A 29201-2025 karta.png", "A 29201-2025")</f>
        <v/>
      </c>
      <c r="Y12">
        <f>HYPERLINK("https://klasma.github.io/Logging_0767/kartor_geotiff/A 29201-2025 georefererad karta.tif", "A 29201-2025")</f>
        <v/>
      </c>
      <c r="AA12">
        <f>HYPERLINK("https://klasma.github.io/Logging_0767/klagomål/A 29201-2025 FSC-klagomål.docx", "A 29201-2025")</f>
        <v/>
      </c>
      <c r="AB12">
        <f>HYPERLINK("https://klasma.github.io/Logging_0767/klagomålsmail/A 29201-2025 FSC-klagomål mail.docx", "A 29201-2025")</f>
        <v/>
      </c>
      <c r="AC12">
        <f>HYPERLINK("https://klasma.github.io/Logging_0767/tillsyn/A 29201-2025 tillsynsbegäran.docx", "A 29201-2025")</f>
        <v/>
      </c>
      <c r="AD12">
        <f>HYPERLINK("https://klasma.github.io/Logging_0767/tillsynsmail/A 29201-2025 tillsynsbegäran mail.docx", "A 29201-2025")</f>
        <v/>
      </c>
    </row>
    <row r="13" ht="15" customHeight="1">
      <c r="A13" t="inlineStr">
        <is>
          <t>A 4473-2023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44956</v>
      </c>
      <c r="E13" s="1" t="n">
        <v>46307</v>
      </c>
      <c r="F13" t="inlineStr">
        <is>
          <t>KRONOBERGS LÄN</t>
        </is>
      </c>
      <c r="G13" t="inlineStr">
        <is>
          <t>MARKARYD</t>
        </is>
      </c>
      <c r="I13" t="n">
        <v>1.2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1</v>
      </c>
      <c r="S13" t="n">
        <v>1</v>
      </c>
      <c r="T13" t="n">
        <v>1</v>
      </c>
      <c r="U13" t="n">
        <v>0</v>
      </c>
      <c r="V13" s="2" t="inlineStr">
        <is>
          <t>Slåttergubbe</t>
        </is>
      </c>
      <c r="W13">
        <f>HYPERLINK("https://klasma.github.io/Logging_0767/artfynd/A 4473-2023 artfynd.xlsx", "A 4473-2023")</f>
        <v/>
      </c>
      <c r="X13">
        <f>HYPERLINK("https://klasma.github.io/Logging_0767/kartor/A 4473-2023 karta.png", "A 4473-2023")</f>
        <v/>
      </c>
      <c r="Y13">
        <f>HYPERLINK("https://klasma.github.io/Logging_0767/kartor_geotiff/A 4473-2023 georefererad karta.tif", "A 4473-2023")</f>
        <v/>
      </c>
      <c r="AA13">
        <f>HYPERLINK("https://klasma.github.io/Logging_0767/klagomål/A 4473-2023 FSC-klagomål.docx", "A 4473-2023")</f>
        <v/>
      </c>
      <c r="AB13">
        <f>HYPERLINK("https://klasma.github.io/Logging_0767/klagomålsmail/A 4473-2023 FSC-klagomål mail.docx", "A 4473-2023")</f>
        <v/>
      </c>
      <c r="AC13">
        <f>HYPERLINK("https://klasma.github.io/Logging_0767/tillsyn/A 4473-2023 tillsynsbegäran.docx", "A 4473-2023")</f>
        <v/>
      </c>
      <c r="AD13">
        <f>HYPERLINK("https://klasma.github.io/Logging_0767/tillsynsmail/A 4473-2023 tillsynsbegäran mail.docx", "A 4473-2023")</f>
        <v/>
      </c>
    </row>
    <row r="14" ht="15" customHeight="1">
      <c r="A14" t="inlineStr">
        <is>
          <t>A 12528-2026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46090</v>
      </c>
      <c r="E14" s="1" t="n">
        <v>46307</v>
      </c>
      <c r="F14" t="inlineStr">
        <is>
          <t>KRONOBERGS LÄN</t>
        </is>
      </c>
      <c r="G14" t="inlineStr">
        <is>
          <t>MARKARYD</t>
        </is>
      </c>
      <c r="H14" t="inlineStr">
        <is>
          <t>Sveaskog</t>
        </is>
      </c>
      <c r="I14" t="n">
        <v>5.4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</v>
      </c>
      <c r="T14" t="n">
        <v>1</v>
      </c>
      <c r="U14" t="n">
        <v>0</v>
      </c>
      <c r="V14" s="2" t="inlineStr">
        <is>
          <t>Borsttåg</t>
        </is>
      </c>
      <c r="W14">
        <f>HYPERLINK("https://klasma.github.io/Logging_0767/artfynd/A 12528-2026 artfynd.xlsx", "A 12528-2026")</f>
        <v/>
      </c>
      <c r="X14">
        <f>HYPERLINK("https://klasma.github.io/Logging_0767/kartor/A 12528-2026 karta.png", "A 12528-2026")</f>
        <v/>
      </c>
      <c r="Y14">
        <f>HYPERLINK("https://klasma.github.io/Logging_0767/kartor_geotiff/A 12528-2026 georefererad karta.tif", "A 12528-2026")</f>
        <v/>
      </c>
      <c r="AA14">
        <f>HYPERLINK("https://klasma.github.io/Logging_0767/klagomål/A 12528-2026 FSC-klagomål.docx", "A 12528-2026")</f>
        <v/>
      </c>
      <c r="AB14">
        <f>HYPERLINK("https://klasma.github.io/Logging_0767/klagomålsmail/A 12528-2026 FSC-klagomål mail.docx", "A 12528-2026")</f>
        <v/>
      </c>
      <c r="AC14">
        <f>HYPERLINK("https://klasma.github.io/Logging_0767/tillsyn/A 12528-2026 tillsynsbegäran.docx", "A 12528-2026")</f>
        <v/>
      </c>
      <c r="AD14">
        <f>HYPERLINK("https://klasma.github.io/Logging_0767/tillsynsmail/A 12528-2026 tillsynsbegäran mail.docx", "A 12528-2026")</f>
        <v/>
      </c>
    </row>
    <row r="15" ht="15" customHeight="1">
      <c r="A15" t="inlineStr">
        <is>
          <t>S 625-2023</t>
        </is>
      </c>
      <c r="B15" t="inlineStr">
        <is>
          <t>samrådsanmälan</t>
        </is>
      </c>
      <c r="C15" t="inlineStr">
        <is>
          <t>Askåterföring</t>
        </is>
      </c>
      <c r="D15" s="1" t="n">
        <v>44972</v>
      </c>
      <c r="E15" s="1" t="n">
        <v>46307</v>
      </c>
      <c r="F15" t="inlineStr">
        <is>
          <t>KRONOBERGS LÄN</t>
        </is>
      </c>
      <c r="G15" t="inlineStr">
        <is>
          <t>MARKARYD</t>
        </is>
      </c>
      <c r="I15" t="n">
        <v>45.7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1</v>
      </c>
      <c r="S15" t="n">
        <v>1</v>
      </c>
      <c r="T15" t="n">
        <v>5</v>
      </c>
      <c r="U15" t="n">
        <v>1</v>
      </c>
      <c r="V15" s="2" t="inlineStr">
        <is>
          <t>Slåttergubbe</t>
        </is>
      </c>
      <c r="W15">
        <f>HYPERLINK("https://klasma.github.io/Logging_0767/artfynd/S 625-2023 artfynd.xlsx", "S 625-2023")</f>
        <v/>
      </c>
      <c r="X15">
        <f>HYPERLINK("https://klasma.github.io/Logging_0767/kartor/S 625-2023 karta.png", "S 625-2023")</f>
        <v/>
      </c>
      <c r="Y15">
        <f>HYPERLINK("https://klasma.github.io/Logging_0767/kartor_geotiff/S 625-2023 georefererad karta.tif", "S 625-2023")</f>
        <v/>
      </c>
      <c r="AA15">
        <f>HYPERLINK("https://klasma.github.io/Logging_0767/klagomål/S 625-2023 FSC-klagomål.docx", "S 625-2023")</f>
        <v/>
      </c>
      <c r="AB15">
        <f>HYPERLINK("https://klasma.github.io/Logging_0767/klagomålsmail/S 625-2023 FSC-klagomål mail.docx", "S 625-2023")</f>
        <v/>
      </c>
      <c r="AC15">
        <f>HYPERLINK("https://klasma.github.io/Logging_0767/tillsyn/S 625-2023 tillsynsbegäran.docx", "S 625-2023")</f>
        <v/>
      </c>
      <c r="AD15">
        <f>HYPERLINK("https://klasma.github.io/Logging_0767/tillsynsmail/S 625-2023 tillsynsbegäran mail.docx", "S 625-2023")</f>
        <v/>
      </c>
    </row>
    <row r="16" ht="15" customHeight="1">
      <c r="A16" t="inlineStr">
        <is>
          <t>S 4241-2024</t>
        </is>
      </c>
      <c r="B16" t="inlineStr">
        <is>
          <t>samrådsanmälan</t>
        </is>
      </c>
      <c r="C16" t="inlineStr">
        <is>
          <t>Askåterföring</t>
        </is>
      </c>
      <c r="D16" s="1" t="n">
        <v>45581</v>
      </c>
      <c r="E16" s="1" t="n">
        <v>46307</v>
      </c>
      <c r="F16" t="inlineStr">
        <is>
          <t>KRONOBERGS LÄN</t>
        </is>
      </c>
      <c r="G16" t="inlineStr">
        <is>
          <t>MARKARYD</t>
        </is>
      </c>
      <c r="I16" t="n">
        <v>19.9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1</v>
      </c>
      <c r="U16" t="n">
        <v>1</v>
      </c>
      <c r="V16" s="2" t="inlineStr">
        <is>
          <t>Åkerkål</t>
        </is>
      </c>
      <c r="W16">
        <f>HYPERLINK("https://klasma.github.io/Logging_0767/artfynd/S 4241-2024 artfynd.xlsx", "S 4241-2024")</f>
        <v/>
      </c>
      <c r="X16">
        <f>HYPERLINK("https://klasma.github.io/Logging_0767/kartor/S 4241-2024 karta.png", "S 4241-2024")</f>
        <v/>
      </c>
      <c r="Y16">
        <f>HYPERLINK("https://klasma.github.io/Logging_0767/kartor_geotiff/S 4241-2024 georefererad karta.tif", "S 4241-2024")</f>
        <v/>
      </c>
      <c r="AA16">
        <f>HYPERLINK("https://klasma.github.io/Logging_0767/klagomål/S 4241-2024 FSC-klagomål.docx", "S 4241-2024")</f>
        <v/>
      </c>
      <c r="AB16">
        <f>HYPERLINK("https://klasma.github.io/Logging_0767/klagomålsmail/S 4241-2024 FSC-klagomål mail.docx", "S 4241-2024")</f>
        <v/>
      </c>
      <c r="AC16">
        <f>HYPERLINK("https://klasma.github.io/Logging_0767/tillsyn/S 4241-2024 tillsynsbegäran.docx", "S 4241-2024")</f>
        <v/>
      </c>
      <c r="AD16">
        <f>HYPERLINK("https://klasma.github.io/Logging_0767/tillsynsmail/S 4241-2024 tillsynsbegäran mail.docx", "S 4241-2024")</f>
        <v/>
      </c>
    </row>
    <row r="17" ht="15" customHeight="1">
      <c r="A17" t="inlineStr">
        <is>
          <t>S 1252-2025</t>
        </is>
      </c>
      <c r="B17" t="inlineStr">
        <is>
          <t>samrådsanmälan</t>
        </is>
      </c>
      <c r="C17" t="inlineStr">
        <is>
          <t>Askåterföring</t>
        </is>
      </c>
      <c r="D17" s="1" t="n">
        <v>45762</v>
      </c>
      <c r="E17" s="1" t="n">
        <v>46307</v>
      </c>
      <c r="F17" t="inlineStr">
        <is>
          <t>KRONOBERGS LÄN</t>
        </is>
      </c>
      <c r="G17" t="inlineStr">
        <is>
          <t>MARKARYD</t>
        </is>
      </c>
      <c r="H17" t="inlineStr">
        <is>
          <t>Kyrkan</t>
        </is>
      </c>
      <c r="I17" t="n">
        <v>61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1</v>
      </c>
      <c r="U17" t="n">
        <v>1</v>
      </c>
      <c r="V17" s="2" t="inlineStr">
        <is>
          <t>Borsttåg</t>
        </is>
      </c>
      <c r="W17">
        <f>HYPERLINK("https://klasma.github.io/Logging_0767/artfynd/S 1252-2025 artfynd.xlsx", "S 1252-2025")</f>
        <v/>
      </c>
      <c r="X17">
        <f>HYPERLINK("https://klasma.github.io/Logging_0767/kartor/S 1252-2025 karta.png", "S 1252-2025")</f>
        <v/>
      </c>
      <c r="Y17">
        <f>HYPERLINK("https://klasma.github.io/Logging_0767/kartor_geotiff/S 1252-2025 georefererad karta.tif", "S 1252-2025")</f>
        <v/>
      </c>
      <c r="AA17">
        <f>HYPERLINK("https://klasma.github.io/Logging_0767/klagomål/S 1252-2025 FSC-klagomål.docx", "S 1252-2025")</f>
        <v/>
      </c>
      <c r="AB17">
        <f>HYPERLINK("https://klasma.github.io/Logging_0767/klagomålsmail/S 1252-2025 FSC-klagomål mail.docx", "S 1252-2025")</f>
        <v/>
      </c>
      <c r="AC17">
        <f>HYPERLINK("https://klasma.github.io/Logging_0767/tillsyn/S 1252-2025 tillsynsbegäran.docx", "S 1252-2025")</f>
        <v/>
      </c>
      <c r="AD17">
        <f>HYPERLINK("https://klasma.github.io/Logging_0767/tillsynsmail/S 1252-2025 tillsynsbegäran mail.docx", "S 1252-2025")</f>
        <v/>
      </c>
    </row>
    <row r="18" ht="15" customHeight="1">
      <c r="A18" t="inlineStr">
        <is>
          <t>A 53481-2022</t>
        </is>
      </c>
      <c r="B18" t="inlineStr">
        <is>
          <t>avverkningsanmälan</t>
        </is>
      </c>
      <c r="C18" t="inlineStr">
        <is>
          <t>Avverkning för annat ändamål</t>
        </is>
      </c>
      <c r="D18" s="1" t="n">
        <v>44879</v>
      </c>
      <c r="E18" s="1" t="n">
        <v>46307</v>
      </c>
      <c r="F18" t="inlineStr">
        <is>
          <t>KRONOBERGS LÄN</t>
        </is>
      </c>
      <c r="G18" t="inlineStr">
        <is>
          <t>MARKARYD</t>
        </is>
      </c>
      <c r="I18" t="n">
        <v>0.4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s="2" t="inlineStr"/>
    </row>
    <row r="19" ht="15" customHeight="1">
      <c r="A19" t="inlineStr">
        <is>
          <t>A 19332-2022</t>
        </is>
      </c>
      <c r="B19" t="inlineStr">
        <is>
          <t>avverkningsanmälan</t>
        </is>
      </c>
      <c r="C19" t="inlineStr">
        <is>
          <t>Avverkning för annat ändamål</t>
        </is>
      </c>
      <c r="D19" s="1" t="n">
        <v>44692</v>
      </c>
      <c r="E19" s="1" t="n">
        <v>46307</v>
      </c>
      <c r="F19" t="inlineStr">
        <is>
          <t>KRONOBERGS LÄN</t>
        </is>
      </c>
      <c r="G19" t="inlineStr">
        <is>
          <t>MARKARYD</t>
        </is>
      </c>
      <c r="I19" t="n">
        <v>0.2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s="2" t="inlineStr"/>
    </row>
    <row r="20" ht="15" customHeight="1">
      <c r="A20" t="inlineStr">
        <is>
          <t>A 5472-2022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44595</v>
      </c>
      <c r="E20" s="1" t="n">
        <v>46307</v>
      </c>
      <c r="F20" t="inlineStr">
        <is>
          <t>KRONOBERGS LÄN</t>
        </is>
      </c>
      <c r="G20" t="inlineStr">
        <is>
          <t>MARKARYD</t>
        </is>
      </c>
      <c r="I20" t="n">
        <v>0.5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s="2" t="inlineStr"/>
    </row>
    <row r="21" ht="15" customHeight="1">
      <c r="A21" t="inlineStr">
        <is>
          <t>A 20664-2022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44700</v>
      </c>
      <c r="E21" s="1" t="n">
        <v>46307</v>
      </c>
      <c r="F21" t="inlineStr">
        <is>
          <t>KRONOBERGS LÄN</t>
        </is>
      </c>
      <c r="G21" t="inlineStr">
        <is>
          <t>MARKARYD</t>
        </is>
      </c>
      <c r="I21" t="n">
        <v>0.6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s="2" t="inlineStr"/>
    </row>
    <row r="22" ht="15" customHeight="1">
      <c r="A22" t="inlineStr">
        <is>
          <t>A 60237-2021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44495</v>
      </c>
      <c r="E22" s="1" t="n">
        <v>46307</v>
      </c>
      <c r="F22" t="inlineStr">
        <is>
          <t>KRONOBERGS LÄN</t>
        </is>
      </c>
      <c r="G22" t="inlineStr">
        <is>
          <t>MARKARYD</t>
        </is>
      </c>
      <c r="I22" t="n">
        <v>0.6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s="2" t="inlineStr"/>
    </row>
    <row r="23" ht="15" customHeight="1">
      <c r="A23" t="inlineStr">
        <is>
          <t>A 45958-2022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44846</v>
      </c>
      <c r="E23" s="1" t="n">
        <v>46307</v>
      </c>
      <c r="F23" t="inlineStr">
        <is>
          <t>KRONOBERGS LÄN</t>
        </is>
      </c>
      <c r="G23" t="inlineStr">
        <is>
          <t>MARKARYD</t>
        </is>
      </c>
      <c r="I23" t="n">
        <v>0.5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s="2" t="inlineStr"/>
    </row>
    <row r="24" ht="15" customHeight="1">
      <c r="A24" t="inlineStr">
        <is>
          <t>A 36065-2022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44802</v>
      </c>
      <c r="E24" s="1" t="n">
        <v>46307</v>
      </c>
      <c r="F24" t="inlineStr">
        <is>
          <t>KRONOBERGS LÄN</t>
        </is>
      </c>
      <c r="G24" t="inlineStr">
        <is>
          <t>MARKARYD</t>
        </is>
      </c>
      <c r="I24" t="n">
        <v>2.1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s="2" t="inlineStr"/>
    </row>
    <row r="25" ht="15" customHeight="1">
      <c r="A25" t="inlineStr">
        <is>
          <t>A 36067-2022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44802</v>
      </c>
      <c r="E25" s="1" t="n">
        <v>46307</v>
      </c>
      <c r="F25" t="inlineStr">
        <is>
          <t>KRONOBERGS LÄN</t>
        </is>
      </c>
      <c r="G25" t="inlineStr">
        <is>
          <t>MARKARYD</t>
        </is>
      </c>
      <c r="I25" t="n">
        <v>2.7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s="2" t="inlineStr"/>
    </row>
    <row r="26" ht="15" customHeight="1">
      <c r="A26" t="inlineStr">
        <is>
          <t>A 36069-2022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44802</v>
      </c>
      <c r="E26" s="1" t="n">
        <v>46307</v>
      </c>
      <c r="F26" t="inlineStr">
        <is>
          <t>KRONOBERGS LÄN</t>
        </is>
      </c>
      <c r="G26" t="inlineStr">
        <is>
          <t>MARKARYD</t>
        </is>
      </c>
      <c r="I26" t="n">
        <v>0.6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s="2" t="inlineStr"/>
    </row>
    <row r="27" ht="15" customHeight="1">
      <c r="A27" t="inlineStr">
        <is>
          <t>A 48845-2022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44859</v>
      </c>
      <c r="E27" s="1" t="n">
        <v>46307</v>
      </c>
      <c r="F27" t="inlineStr">
        <is>
          <t>KRONOBERGS LÄN</t>
        </is>
      </c>
      <c r="G27" t="inlineStr">
        <is>
          <t>MARKARYD</t>
        </is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s="2" t="inlineStr"/>
    </row>
    <row r="28" ht="15" customHeight="1">
      <c r="A28" t="inlineStr">
        <is>
          <t>A 52870-2022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44875</v>
      </c>
      <c r="E28" s="1" t="n">
        <v>46307</v>
      </c>
      <c r="F28" t="inlineStr">
        <is>
          <t>KRONOBERGS LÄN</t>
        </is>
      </c>
      <c r="G28" t="inlineStr">
        <is>
          <t>MARKARYD</t>
        </is>
      </c>
      <c r="I28" t="n">
        <v>0.6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s="2" t="inlineStr"/>
    </row>
    <row r="29" ht="15" customHeight="1">
      <c r="A29" t="inlineStr">
        <is>
          <t>A 12447-2022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44638</v>
      </c>
      <c r="E29" s="1" t="n">
        <v>46307</v>
      </c>
      <c r="F29" t="inlineStr">
        <is>
          <t>KRONOBERGS LÄN</t>
        </is>
      </c>
      <c r="G29" t="inlineStr">
        <is>
          <t>MARKARYD</t>
        </is>
      </c>
      <c r="I29" t="n">
        <v>4.4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s="2" t="inlineStr"/>
    </row>
    <row r="30" ht="15" customHeight="1">
      <c r="A30" t="inlineStr">
        <is>
          <t>A 20658-2022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44700</v>
      </c>
      <c r="E30" s="1" t="n">
        <v>46307</v>
      </c>
      <c r="F30" t="inlineStr">
        <is>
          <t>KRONOBERGS LÄN</t>
        </is>
      </c>
      <c r="G30" t="inlineStr">
        <is>
          <t>MARKARYD</t>
        </is>
      </c>
      <c r="I30" t="n">
        <v>1.2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s="2" t="inlineStr"/>
    </row>
    <row r="31" ht="15" customHeight="1">
      <c r="A31" t="inlineStr">
        <is>
          <t>A 71176-2021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44539</v>
      </c>
      <c r="E31" s="1" t="n">
        <v>46307</v>
      </c>
      <c r="F31" t="inlineStr">
        <is>
          <t>KRONOBERGS LÄN</t>
        </is>
      </c>
      <c r="G31" t="inlineStr">
        <is>
          <t>MARKARYD</t>
        </is>
      </c>
      <c r="I31" t="n">
        <v>1.7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s="2" t="inlineStr"/>
    </row>
    <row r="32" ht="15" customHeight="1">
      <c r="A32" t="inlineStr">
        <is>
          <t>A 3966-2022</t>
        </is>
      </c>
      <c r="B32" t="inlineStr">
        <is>
          <t>avverkningsanmälan</t>
        </is>
      </c>
      <c r="C32" t="inlineStr">
        <is>
          <t>Avverkning för annat ändamål</t>
        </is>
      </c>
      <c r="D32" s="1" t="n">
        <v>44587</v>
      </c>
      <c r="E32" s="1" t="n">
        <v>46307</v>
      </c>
      <c r="F32" t="inlineStr">
        <is>
          <t>KRONOBERGS LÄN</t>
        </is>
      </c>
      <c r="G32" t="inlineStr">
        <is>
          <t>MARKARYD</t>
        </is>
      </c>
      <c r="I32" t="n">
        <v>0.3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s="2" t="inlineStr"/>
    </row>
    <row r="33" ht="15" customHeight="1">
      <c r="A33" t="inlineStr">
        <is>
          <t>A 36066-2022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44802</v>
      </c>
      <c r="E33" s="1" t="n">
        <v>46307</v>
      </c>
      <c r="F33" t="inlineStr">
        <is>
          <t>KRONOBERGS LÄN</t>
        </is>
      </c>
      <c r="G33" t="inlineStr">
        <is>
          <t>MARKARYD</t>
        </is>
      </c>
      <c r="I33" t="n">
        <v>8.4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s="2" t="inlineStr"/>
    </row>
    <row r="34" ht="15" customHeight="1">
      <c r="A34" t="inlineStr">
        <is>
          <t>A 36068-2022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44802</v>
      </c>
      <c r="E34" s="1" t="n">
        <v>46307</v>
      </c>
      <c r="F34" t="inlineStr">
        <is>
          <t>KRONOBERGS LÄN</t>
        </is>
      </c>
      <c r="G34" t="inlineStr">
        <is>
          <t>MARKARYD</t>
        </is>
      </c>
      <c r="I34" t="n">
        <v>4.6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s="2" t="inlineStr"/>
    </row>
    <row r="35" ht="15" customHeight="1">
      <c r="A35" t="inlineStr">
        <is>
          <t>A 12868-2022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44642</v>
      </c>
      <c r="E35" s="1" t="n">
        <v>46307</v>
      </c>
      <c r="F35" t="inlineStr">
        <is>
          <t>KRONOBERGS LÄN</t>
        </is>
      </c>
      <c r="G35" t="inlineStr">
        <is>
          <t>MARKARYD</t>
        </is>
      </c>
      <c r="I35" t="n">
        <v>0.5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s="2" t="inlineStr"/>
    </row>
    <row r="36" ht="15" customHeight="1">
      <c r="A36" t="inlineStr">
        <is>
          <t>A 1130-2022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44572</v>
      </c>
      <c r="E36" s="1" t="n">
        <v>46307</v>
      </c>
      <c r="F36" t="inlineStr">
        <is>
          <t>KRONOBERGS LÄN</t>
        </is>
      </c>
      <c r="G36" t="inlineStr">
        <is>
          <t>MARKARYD</t>
        </is>
      </c>
      <c r="I36" t="n">
        <v>0.5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s="2" t="inlineStr"/>
    </row>
    <row r="37" ht="15" customHeight="1">
      <c r="A37" t="inlineStr">
        <is>
          <t>A 36064-2022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44802</v>
      </c>
      <c r="E37" s="1" t="n">
        <v>46307</v>
      </c>
      <c r="F37" t="inlineStr">
        <is>
          <t>KRONOBERGS LÄN</t>
        </is>
      </c>
      <c r="G37" t="inlineStr">
        <is>
          <t>MARKARYD</t>
        </is>
      </c>
      <c r="I37" t="n">
        <v>2.2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s="2" t="inlineStr"/>
    </row>
    <row r="38" ht="15" customHeight="1">
      <c r="A38" t="inlineStr">
        <is>
          <t>A 3133-2022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44582</v>
      </c>
      <c r="E38" s="1" t="n">
        <v>46307</v>
      </c>
      <c r="F38" t="inlineStr">
        <is>
          <t>KRONOBERGS LÄN</t>
        </is>
      </c>
      <c r="G38" t="inlineStr">
        <is>
          <t>MARKARYD</t>
        </is>
      </c>
      <c r="I38" t="n">
        <v>1.2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s="2" t="inlineStr"/>
    </row>
    <row r="39" ht="15" customHeight="1">
      <c r="A39" t="inlineStr">
        <is>
          <t>A 43623-2022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44837</v>
      </c>
      <c r="E39" s="1" t="n">
        <v>46307</v>
      </c>
      <c r="F39" t="inlineStr">
        <is>
          <t>KRONOBERGS LÄN</t>
        </is>
      </c>
      <c r="G39" t="inlineStr">
        <is>
          <t>MARKARYD</t>
        </is>
      </c>
      <c r="I39" t="n">
        <v>1.1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s="2" t="inlineStr"/>
    </row>
    <row r="40" ht="15" customHeight="1">
      <c r="A40" t="inlineStr">
        <is>
          <t>A 46392-2022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44848</v>
      </c>
      <c r="E40" s="1" t="n">
        <v>46307</v>
      </c>
      <c r="F40" t="inlineStr">
        <is>
          <t>KRONOBERGS LÄN</t>
        </is>
      </c>
      <c r="G40" t="inlineStr">
        <is>
          <t>MARKARYD</t>
        </is>
      </c>
      <c r="I40" t="n">
        <v>0.5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s="2" t="inlineStr"/>
    </row>
    <row r="41" ht="15" customHeight="1">
      <c r="A41" t="inlineStr">
        <is>
          <t>A 12453-2022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44638</v>
      </c>
      <c r="E41" s="1" t="n">
        <v>46307</v>
      </c>
      <c r="F41" t="inlineStr">
        <is>
          <t>KRONOBERGS LÄN</t>
        </is>
      </c>
      <c r="G41" t="inlineStr">
        <is>
          <t>MARKARYD</t>
        </is>
      </c>
      <c r="I41" t="n">
        <v>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s="2" t="inlineStr"/>
    </row>
    <row r="42" ht="15" customHeight="1">
      <c r="A42" t="inlineStr">
        <is>
          <t>A 63541-2021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44508</v>
      </c>
      <c r="E42" s="1" t="n">
        <v>46307</v>
      </c>
      <c r="F42" t="inlineStr">
        <is>
          <t>KRONOBERGS LÄN</t>
        </is>
      </c>
      <c r="G42" t="inlineStr">
        <is>
          <t>MARKARYD</t>
        </is>
      </c>
      <c r="I42" t="n">
        <v>0.9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s="2" t="inlineStr"/>
    </row>
    <row r="43" ht="15" customHeight="1">
      <c r="A43" t="inlineStr">
        <is>
          <t>A 11215-2024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45371</v>
      </c>
      <c r="E43" s="1" t="n">
        <v>46307</v>
      </c>
      <c r="F43" t="inlineStr">
        <is>
          <t>KRONOBERGS LÄN</t>
        </is>
      </c>
      <c r="G43" t="inlineStr">
        <is>
          <t>MARKARYD</t>
        </is>
      </c>
      <c r="I43" t="n">
        <v>0.7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s="2" t="inlineStr"/>
    </row>
    <row r="44" ht="15" customHeight="1">
      <c r="A44" t="inlineStr">
        <is>
          <t>A 20659-2022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44700</v>
      </c>
      <c r="E44" s="1" t="n">
        <v>46307</v>
      </c>
      <c r="F44" t="inlineStr">
        <is>
          <t>KRONOBERGS LÄN</t>
        </is>
      </c>
      <c r="G44" t="inlineStr">
        <is>
          <t>MARKARYD</t>
        </is>
      </c>
      <c r="I44" t="n">
        <v>1.5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s="2" t="inlineStr"/>
    </row>
    <row r="45" ht="15" customHeight="1">
      <c r="A45" t="inlineStr">
        <is>
          <t>A 20661-2022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44700</v>
      </c>
      <c r="E45" s="1" t="n">
        <v>46307</v>
      </c>
      <c r="F45" t="inlineStr">
        <is>
          <t>KRONOBERGS LÄN</t>
        </is>
      </c>
      <c r="G45" t="inlineStr">
        <is>
          <t>MARKARYD</t>
        </is>
      </c>
      <c r="I45" t="n">
        <v>0.6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s="2" t="inlineStr"/>
    </row>
    <row r="46" ht="15" customHeight="1">
      <c r="A46" t="inlineStr">
        <is>
          <t>A 40586-2022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44823</v>
      </c>
      <c r="E46" s="1" t="n">
        <v>46307</v>
      </c>
      <c r="F46" t="inlineStr">
        <is>
          <t>KRONOBERGS LÄN</t>
        </is>
      </c>
      <c r="G46" t="inlineStr">
        <is>
          <t>MARKARYD</t>
        </is>
      </c>
      <c r="I46" t="n">
        <v>1.2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s="2" t="inlineStr"/>
    </row>
    <row r="47" ht="15" customHeight="1">
      <c r="A47" t="inlineStr">
        <is>
          <t>A 1461-2025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45670</v>
      </c>
      <c r="E47" s="1" t="n">
        <v>46307</v>
      </c>
      <c r="F47" t="inlineStr">
        <is>
          <t>KRONOBERGS LÄN</t>
        </is>
      </c>
      <c r="G47" t="inlineStr">
        <is>
          <t>MARKARYD</t>
        </is>
      </c>
      <c r="I47" t="n">
        <v>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2" t="inlineStr"/>
    </row>
    <row r="48" ht="15" customHeight="1">
      <c r="A48" t="inlineStr">
        <is>
          <t>A 15773-2024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45404</v>
      </c>
      <c r="E48" s="1" t="n">
        <v>46307</v>
      </c>
      <c r="F48" t="inlineStr">
        <is>
          <t>KRONOBERGS LÄN</t>
        </is>
      </c>
      <c r="G48" t="inlineStr">
        <is>
          <t>MARKARYD</t>
        </is>
      </c>
      <c r="I48" t="n">
        <v>1.6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2" t="inlineStr"/>
    </row>
    <row r="49" ht="15" customHeight="1">
      <c r="A49" t="inlineStr">
        <is>
          <t>A 51179-2023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45219</v>
      </c>
      <c r="E49" s="1" t="n">
        <v>46307</v>
      </c>
      <c r="F49" t="inlineStr">
        <is>
          <t>KRONOBERGS LÄN</t>
        </is>
      </c>
      <c r="G49" t="inlineStr">
        <is>
          <t>MARKARYD</t>
        </is>
      </c>
      <c r="I49" t="n">
        <v>1.5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inlineStr"/>
    </row>
    <row r="50" ht="15" customHeight="1">
      <c r="A50" t="inlineStr">
        <is>
          <t>A 58686-2022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44902</v>
      </c>
      <c r="E50" s="1" t="n">
        <v>46307</v>
      </c>
      <c r="F50" t="inlineStr">
        <is>
          <t>KRONOBERGS LÄN</t>
        </is>
      </c>
      <c r="G50" t="inlineStr">
        <is>
          <t>MARKARYD</t>
        </is>
      </c>
      <c r="I50" t="n">
        <v>3.4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  <row r="51" ht="15" customHeight="1">
      <c r="A51" t="inlineStr">
        <is>
          <t>A 23543-2023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45077</v>
      </c>
      <c r="E51" s="1" t="n">
        <v>46307</v>
      </c>
      <c r="F51" t="inlineStr">
        <is>
          <t>KRONOBERGS LÄN</t>
        </is>
      </c>
      <c r="G51" t="inlineStr">
        <is>
          <t>MARKARYD</t>
        </is>
      </c>
      <c r="I51" t="n">
        <v>3.6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A 4963-2023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44958</v>
      </c>
      <c r="E52" s="1" t="n">
        <v>46307</v>
      </c>
      <c r="F52" t="inlineStr">
        <is>
          <t>KRONOBERGS LÄN</t>
        </is>
      </c>
      <c r="G52" t="inlineStr">
        <is>
          <t>MARKARYD</t>
        </is>
      </c>
      <c r="I52" t="n">
        <v>0.9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13951-2023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45008</v>
      </c>
      <c r="E53" s="1" t="n">
        <v>46307</v>
      </c>
      <c r="F53" t="inlineStr">
        <is>
          <t>KRONOBERGS LÄN</t>
        </is>
      </c>
      <c r="G53" t="inlineStr">
        <is>
          <t>MARKARYD</t>
        </is>
      </c>
      <c r="I53" t="n">
        <v>1.1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50613-2023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45217</v>
      </c>
      <c r="E54" s="1" t="n">
        <v>46307</v>
      </c>
      <c r="F54" t="inlineStr">
        <is>
          <t>KRONOBERGS LÄN</t>
        </is>
      </c>
      <c r="G54" t="inlineStr">
        <is>
          <t>MARKARYD</t>
        </is>
      </c>
      <c r="I54" t="n">
        <v>6.9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7121-2023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44970</v>
      </c>
      <c r="E55" s="1" t="n">
        <v>46307</v>
      </c>
      <c r="F55" t="inlineStr">
        <is>
          <t>KRONOBERGS LÄN</t>
        </is>
      </c>
      <c r="G55" t="inlineStr">
        <is>
          <t>MARKARYD</t>
        </is>
      </c>
      <c r="I55" t="n">
        <v>0.7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39057-2024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45547</v>
      </c>
      <c r="E56" s="1" t="n">
        <v>46307</v>
      </c>
      <c r="F56" t="inlineStr">
        <is>
          <t>KRONOBERGS LÄN</t>
        </is>
      </c>
      <c r="G56" t="inlineStr">
        <is>
          <t>MARKARYD</t>
        </is>
      </c>
      <c r="H56" t="inlineStr">
        <is>
          <t>Kyrkan</t>
        </is>
      </c>
      <c r="I56" t="n">
        <v>2.8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11021-2024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45370</v>
      </c>
      <c r="E57" s="1" t="n">
        <v>46307</v>
      </c>
      <c r="F57" t="inlineStr">
        <is>
          <t>KRONOBERGS LÄN</t>
        </is>
      </c>
      <c r="G57" t="inlineStr">
        <is>
          <t>MARKARYD</t>
        </is>
      </c>
      <c r="I57" t="n">
        <v>1.6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19116-2024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45428</v>
      </c>
      <c r="E58" s="1" t="n">
        <v>46307</v>
      </c>
      <c r="F58" t="inlineStr">
        <is>
          <t>KRONOBERGS LÄN</t>
        </is>
      </c>
      <c r="G58" t="inlineStr">
        <is>
          <t>MARKARYD</t>
        </is>
      </c>
      <c r="I58" t="n">
        <v>2.3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63718-2023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45275</v>
      </c>
      <c r="E59" s="1" t="n">
        <v>46307</v>
      </c>
      <c r="F59" t="inlineStr">
        <is>
          <t>KRONOBERGS LÄN</t>
        </is>
      </c>
      <c r="G59" t="inlineStr">
        <is>
          <t>MARKARYD</t>
        </is>
      </c>
      <c r="H59" t="inlineStr">
        <is>
          <t>Kyrkan</t>
        </is>
      </c>
      <c r="I59" t="n">
        <v>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40650-2024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45558</v>
      </c>
      <c r="E60" s="1" t="n">
        <v>46307</v>
      </c>
      <c r="F60" t="inlineStr">
        <is>
          <t>KRONOBERGS LÄN</t>
        </is>
      </c>
      <c r="G60" t="inlineStr">
        <is>
          <t>MARKARYD</t>
        </is>
      </c>
      <c r="I60" t="n">
        <v>0.5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61283-2022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44915</v>
      </c>
      <c r="E61" s="1" t="n">
        <v>46307</v>
      </c>
      <c r="F61" t="inlineStr">
        <is>
          <t>KRONOBERGS LÄN</t>
        </is>
      </c>
      <c r="G61" t="inlineStr">
        <is>
          <t>MARKARYD</t>
        </is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10685-2023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44988</v>
      </c>
      <c r="E62" s="1" t="n">
        <v>46307</v>
      </c>
      <c r="F62" t="inlineStr">
        <is>
          <t>KRONOBERGS LÄN</t>
        </is>
      </c>
      <c r="G62" t="inlineStr">
        <is>
          <t>MARKARYD</t>
        </is>
      </c>
      <c r="I62" t="n">
        <v>3.8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7190-2024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45344</v>
      </c>
      <c r="E63" s="1" t="n">
        <v>46307</v>
      </c>
      <c r="F63" t="inlineStr">
        <is>
          <t>KRONOBERGS LÄN</t>
        </is>
      </c>
      <c r="G63" t="inlineStr">
        <is>
          <t>MARKARYD</t>
        </is>
      </c>
      <c r="I63" t="n">
        <v>0.8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19902-2025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45771</v>
      </c>
      <c r="E64" s="1" t="n">
        <v>46307</v>
      </c>
      <c r="F64" t="inlineStr">
        <is>
          <t>KRONOBERGS LÄN</t>
        </is>
      </c>
      <c r="G64" t="inlineStr">
        <is>
          <t>MARKARYD</t>
        </is>
      </c>
      <c r="I64" t="n">
        <v>0.6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61626-2023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45265</v>
      </c>
      <c r="E65" s="1" t="n">
        <v>46307</v>
      </c>
      <c r="F65" t="inlineStr">
        <is>
          <t>KRONOBERGS LÄN</t>
        </is>
      </c>
      <c r="G65" t="inlineStr">
        <is>
          <t>MARKARYD</t>
        </is>
      </c>
      <c r="I65" t="n">
        <v>0.8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46139-2023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45196</v>
      </c>
      <c r="E66" s="1" t="n">
        <v>46307</v>
      </c>
      <c r="F66" t="inlineStr">
        <is>
          <t>KRONOBERGS LÄN</t>
        </is>
      </c>
      <c r="G66" t="inlineStr">
        <is>
          <t>MARKARYD</t>
        </is>
      </c>
      <c r="I66" t="n">
        <v>0.8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19999-2023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45054</v>
      </c>
      <c r="E67" s="1" t="n">
        <v>46307</v>
      </c>
      <c r="F67" t="inlineStr">
        <is>
          <t>KRONOBERGS LÄN</t>
        </is>
      </c>
      <c r="G67" t="inlineStr">
        <is>
          <t>MARKARYD</t>
        </is>
      </c>
      <c r="I67" t="n">
        <v>1.8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32426-2024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45512</v>
      </c>
      <c r="E68" s="1" t="n">
        <v>46307</v>
      </c>
      <c r="F68" t="inlineStr">
        <is>
          <t>KRONOBERGS LÄN</t>
        </is>
      </c>
      <c r="G68" t="inlineStr">
        <is>
          <t>MARKARYD</t>
        </is>
      </c>
      <c r="I68" t="n">
        <v>1.6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37818-2022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44810</v>
      </c>
      <c r="E69" s="1" t="n">
        <v>46307</v>
      </c>
      <c r="F69" t="inlineStr">
        <is>
          <t>KRONOBERGS LÄN</t>
        </is>
      </c>
      <c r="G69" t="inlineStr">
        <is>
          <t>MARKARYD</t>
        </is>
      </c>
      <c r="I69" t="n">
        <v>5.2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18776-2024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45426</v>
      </c>
      <c r="E70" s="1" t="n">
        <v>46307</v>
      </c>
      <c r="F70" t="inlineStr">
        <is>
          <t>KRONOBERGS LÄN</t>
        </is>
      </c>
      <c r="G70" t="inlineStr">
        <is>
          <t>MARKARYD</t>
        </is>
      </c>
      <c r="I70" t="n">
        <v>2.2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20001-2023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45054</v>
      </c>
      <c r="E71" s="1" t="n">
        <v>46307</v>
      </c>
      <c r="F71" t="inlineStr">
        <is>
          <t>KRONOBERGS LÄN</t>
        </is>
      </c>
      <c r="G71" t="inlineStr">
        <is>
          <t>MARKARYD</t>
        </is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45854-2023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45195</v>
      </c>
      <c r="E72" s="1" t="n">
        <v>46307</v>
      </c>
      <c r="F72" t="inlineStr">
        <is>
          <t>KRONOBERGS LÄN</t>
        </is>
      </c>
      <c r="G72" t="inlineStr">
        <is>
          <t>MARKARYD</t>
        </is>
      </c>
      <c r="I72" t="n">
        <v>0.7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12343-2024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45378</v>
      </c>
      <c r="E73" s="1" t="n">
        <v>46307</v>
      </c>
      <c r="F73" t="inlineStr">
        <is>
          <t>KRONOBERGS LÄN</t>
        </is>
      </c>
      <c r="G73" t="inlineStr">
        <is>
          <t>MARKARYD</t>
        </is>
      </c>
      <c r="I73" t="n">
        <v>1.8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61632-2023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45265</v>
      </c>
      <c r="E74" s="1" t="n">
        <v>46307</v>
      </c>
      <c r="F74" t="inlineStr">
        <is>
          <t>KRONOBERGS LÄN</t>
        </is>
      </c>
      <c r="G74" t="inlineStr">
        <is>
          <t>MARKARYD</t>
        </is>
      </c>
      <c r="I74" t="n">
        <v>1.9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1715-2025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45671</v>
      </c>
      <c r="E75" s="1" t="n">
        <v>46307</v>
      </c>
      <c r="F75" t="inlineStr">
        <is>
          <t>KRONOBERGS LÄN</t>
        </is>
      </c>
      <c r="G75" t="inlineStr">
        <is>
          <t>MARKARYD</t>
        </is>
      </c>
      <c r="I75" t="n">
        <v>10.9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38330-2023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45161</v>
      </c>
      <c r="E76" s="1" t="n">
        <v>46307</v>
      </c>
      <c r="F76" t="inlineStr">
        <is>
          <t>KRONOBERGS LÄN</t>
        </is>
      </c>
      <c r="G76" t="inlineStr">
        <is>
          <t>MARKARYD</t>
        </is>
      </c>
      <c r="I76" t="n">
        <v>2.7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37192-2023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45155</v>
      </c>
      <c r="E77" s="1" t="n">
        <v>46307</v>
      </c>
      <c r="F77" t="inlineStr">
        <is>
          <t>KRONOBERGS LÄN</t>
        </is>
      </c>
      <c r="G77" t="inlineStr">
        <is>
          <t>MARKARYD</t>
        </is>
      </c>
      <c r="I77" t="n">
        <v>2.9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22156-2023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45069</v>
      </c>
      <c r="E78" s="1" t="n">
        <v>46307</v>
      </c>
      <c r="F78" t="inlineStr">
        <is>
          <t>KRONOBERGS LÄN</t>
        </is>
      </c>
      <c r="G78" t="inlineStr">
        <is>
          <t>MARKARYD</t>
        </is>
      </c>
      <c r="I78" t="n">
        <v>2.8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64511-2023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45281</v>
      </c>
      <c r="E79" s="1" t="n">
        <v>46307</v>
      </c>
      <c r="F79" t="inlineStr">
        <is>
          <t>KRONOBERGS LÄN</t>
        </is>
      </c>
      <c r="G79" t="inlineStr">
        <is>
          <t>MARKARYD</t>
        </is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22154-2023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45069</v>
      </c>
      <c r="E80" s="1" t="n">
        <v>46307</v>
      </c>
      <c r="F80" t="inlineStr">
        <is>
          <t>KRONOBERGS LÄN</t>
        </is>
      </c>
      <c r="G80" t="inlineStr">
        <is>
          <t>MARKARYD</t>
        </is>
      </c>
      <c r="I80" t="n">
        <v>2.3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38624-2024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45546</v>
      </c>
      <c r="E81" s="1" t="n">
        <v>46307</v>
      </c>
      <c r="F81" t="inlineStr">
        <is>
          <t>KRONOBERGS LÄN</t>
        </is>
      </c>
      <c r="G81" t="inlineStr">
        <is>
          <t>MARKARYD</t>
        </is>
      </c>
      <c r="H81" t="inlineStr">
        <is>
          <t>Kyrkan</t>
        </is>
      </c>
      <c r="I81" t="n">
        <v>3.4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17255-2024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45414</v>
      </c>
      <c r="E82" s="1" t="n">
        <v>46307</v>
      </c>
      <c r="F82" t="inlineStr">
        <is>
          <t>KRONOBERGS LÄN</t>
        </is>
      </c>
      <c r="G82" t="inlineStr">
        <is>
          <t>MARKARYD</t>
        </is>
      </c>
      <c r="I82" t="n">
        <v>1.3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1116-2022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44572</v>
      </c>
      <c r="E83" s="1" t="n">
        <v>46307</v>
      </c>
      <c r="F83" t="inlineStr">
        <is>
          <t>KRONOBERGS LÄN</t>
        </is>
      </c>
      <c r="G83" t="inlineStr">
        <is>
          <t>MARKARYD</t>
        </is>
      </c>
      <c r="I83" t="n">
        <v>2.2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37029-2022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44806</v>
      </c>
      <c r="E84" s="1" t="n">
        <v>46307</v>
      </c>
      <c r="F84" t="inlineStr">
        <is>
          <t>KRONOBERGS LÄN</t>
        </is>
      </c>
      <c r="G84" t="inlineStr">
        <is>
          <t>MARKARYD</t>
        </is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49274-2023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45210</v>
      </c>
      <c r="E85" s="1" t="n">
        <v>46307</v>
      </c>
      <c r="F85" t="inlineStr">
        <is>
          <t>KRONOBERGS LÄN</t>
        </is>
      </c>
      <c r="G85" t="inlineStr">
        <is>
          <t>MARKARYD</t>
        </is>
      </c>
      <c r="I85" t="n">
        <v>1.9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17927-2023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45040</v>
      </c>
      <c r="E86" s="1" t="n">
        <v>46307</v>
      </c>
      <c r="F86" t="inlineStr">
        <is>
          <t>KRONOBERGS LÄN</t>
        </is>
      </c>
      <c r="G86" t="inlineStr">
        <is>
          <t>MARKARYD</t>
        </is>
      </c>
      <c r="I86" t="n">
        <v>1.9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9134-2023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44980</v>
      </c>
      <c r="E87" s="1" t="n">
        <v>46307</v>
      </c>
      <c r="F87" t="inlineStr">
        <is>
          <t>KRONOBERGS LÄN</t>
        </is>
      </c>
      <c r="G87" t="inlineStr">
        <is>
          <t>MARKARYD</t>
        </is>
      </c>
      <c r="I87" t="n">
        <v>4.6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6559-2022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44601</v>
      </c>
      <c r="E88" s="1" t="n">
        <v>46307</v>
      </c>
      <c r="F88" t="inlineStr">
        <is>
          <t>KRONOBERGS LÄN</t>
        </is>
      </c>
      <c r="G88" t="inlineStr">
        <is>
          <t>MARKARYD</t>
        </is>
      </c>
      <c r="H88" t="inlineStr">
        <is>
          <t>Kommuner</t>
        </is>
      </c>
      <c r="I88" t="n">
        <v>0.8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61625-2023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45265</v>
      </c>
      <c r="E89" s="1" t="n">
        <v>46307</v>
      </c>
      <c r="F89" t="inlineStr">
        <is>
          <t>KRONOBERGS LÄN</t>
        </is>
      </c>
      <c r="G89" t="inlineStr">
        <is>
          <t>MARKARYD</t>
        </is>
      </c>
      <c r="I89" t="n">
        <v>2.2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60115-2023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45258</v>
      </c>
      <c r="E90" s="1" t="n">
        <v>46307</v>
      </c>
      <c r="F90" t="inlineStr">
        <is>
          <t>KRONOBERGS LÄN</t>
        </is>
      </c>
      <c r="G90" t="inlineStr">
        <is>
          <t>MARKARYD</t>
        </is>
      </c>
      <c r="I90" t="n">
        <v>2.5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60121-2023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45258</v>
      </c>
      <c r="E91" s="1" t="n">
        <v>46307</v>
      </c>
      <c r="F91" t="inlineStr">
        <is>
          <t>KRONOBERGS LÄN</t>
        </is>
      </c>
      <c r="G91" t="inlineStr">
        <is>
          <t>MARKARYD</t>
        </is>
      </c>
      <c r="I91" t="n">
        <v>2.4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21658-2023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45063</v>
      </c>
      <c r="E92" s="1" t="n">
        <v>46307</v>
      </c>
      <c r="F92" t="inlineStr">
        <is>
          <t>KRONOBERGS LÄN</t>
        </is>
      </c>
      <c r="G92" t="inlineStr">
        <is>
          <t>MARKARYD</t>
        </is>
      </c>
      <c r="I92" t="n">
        <v>12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4829-2024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45329</v>
      </c>
      <c r="E93" s="1" t="n">
        <v>46307</v>
      </c>
      <c r="F93" t="inlineStr">
        <is>
          <t>KRONOBERGS LÄN</t>
        </is>
      </c>
      <c r="G93" t="inlineStr">
        <is>
          <t>MARKARYD</t>
        </is>
      </c>
      <c r="I93" t="n">
        <v>0.7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17932-2024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45419</v>
      </c>
      <c r="E94" s="1" t="n">
        <v>46307</v>
      </c>
      <c r="F94" t="inlineStr">
        <is>
          <t>KRONOBERGS LÄN</t>
        </is>
      </c>
      <c r="G94" t="inlineStr">
        <is>
          <t>MARKARYD</t>
        </is>
      </c>
      <c r="I94" t="n">
        <v>2.6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63537-2023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45275</v>
      </c>
      <c r="E95" s="1" t="n">
        <v>46307</v>
      </c>
      <c r="F95" t="inlineStr">
        <is>
          <t>KRONOBERGS LÄN</t>
        </is>
      </c>
      <c r="G95" t="inlineStr">
        <is>
          <t>MARKARYD</t>
        </is>
      </c>
      <c r="H95" t="inlineStr">
        <is>
          <t>Sveaskog</t>
        </is>
      </c>
      <c r="I95" t="n">
        <v>0.8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50919-2023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45218</v>
      </c>
      <c r="E96" s="1" t="n">
        <v>46307</v>
      </c>
      <c r="F96" t="inlineStr">
        <is>
          <t>KRONOBERGS LÄN</t>
        </is>
      </c>
      <c r="G96" t="inlineStr">
        <is>
          <t>MARKARYD</t>
        </is>
      </c>
      <c r="I96" t="n">
        <v>1.1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46395-2022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44848</v>
      </c>
      <c r="E97" s="1" t="n">
        <v>46307</v>
      </c>
      <c r="F97" t="inlineStr">
        <is>
          <t>KRONOBERGS LÄN</t>
        </is>
      </c>
      <c r="G97" t="inlineStr">
        <is>
          <t>MARKARYD</t>
        </is>
      </c>
      <c r="I97" t="n">
        <v>1.2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62030-2023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45266</v>
      </c>
      <c r="E98" s="1" t="n">
        <v>46307</v>
      </c>
      <c r="F98" t="inlineStr">
        <is>
          <t>KRONOBERGS LÄN</t>
        </is>
      </c>
      <c r="G98" t="inlineStr">
        <is>
          <t>MARKARYD</t>
        </is>
      </c>
      <c r="I98" t="n">
        <v>0.8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15731-2023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45021</v>
      </c>
      <c r="E99" s="1" t="n">
        <v>46307</v>
      </c>
      <c r="F99" t="inlineStr">
        <is>
          <t>KRONOBERGS LÄN</t>
        </is>
      </c>
      <c r="G99" t="inlineStr">
        <is>
          <t>MARKARYD</t>
        </is>
      </c>
      <c r="I99" t="n">
        <v>1.4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11175-2023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44992</v>
      </c>
      <c r="E100" s="1" t="n">
        <v>46307</v>
      </c>
      <c r="F100" t="inlineStr">
        <is>
          <t>KRONOBERGS LÄN</t>
        </is>
      </c>
      <c r="G100" t="inlineStr">
        <is>
          <t>MARKARYD</t>
        </is>
      </c>
      <c r="I100" t="n">
        <v>1.1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16429-2024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45407</v>
      </c>
      <c r="E101" s="1" t="n">
        <v>46307</v>
      </c>
      <c r="F101" t="inlineStr">
        <is>
          <t>KRONOBERGS LÄN</t>
        </is>
      </c>
      <c r="G101" t="inlineStr">
        <is>
          <t>MARKARYD</t>
        </is>
      </c>
      <c r="I101" t="n">
        <v>1.3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35309-2024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45530</v>
      </c>
      <c r="E102" s="1" t="n">
        <v>46307</v>
      </c>
      <c r="F102" t="inlineStr">
        <is>
          <t>KRONOBERGS LÄN</t>
        </is>
      </c>
      <c r="G102" t="inlineStr">
        <is>
          <t>MARKARYD</t>
        </is>
      </c>
      <c r="H102" t="inlineStr">
        <is>
          <t>Sveaskog</t>
        </is>
      </c>
      <c r="I102" t="n">
        <v>0.4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37170-2024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45539</v>
      </c>
      <c r="E103" s="1" t="n">
        <v>46307</v>
      </c>
      <c r="F103" t="inlineStr">
        <is>
          <t>KRONOBERGS LÄN</t>
        </is>
      </c>
      <c r="G103" t="inlineStr">
        <is>
          <t>MARKARYD</t>
        </is>
      </c>
      <c r="H103" t="inlineStr">
        <is>
          <t>Kyrkan</t>
        </is>
      </c>
      <c r="I103" t="n">
        <v>10.3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8277-2024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45352</v>
      </c>
      <c r="E104" s="1" t="n">
        <v>46307</v>
      </c>
      <c r="F104" t="inlineStr">
        <is>
          <t>KRONOBERGS LÄN</t>
        </is>
      </c>
      <c r="G104" t="inlineStr">
        <is>
          <t>MARKARYD</t>
        </is>
      </c>
      <c r="I104" t="n">
        <v>2.1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43447-2022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44835</v>
      </c>
      <c r="E105" s="1" t="n">
        <v>46307</v>
      </c>
      <c r="F105" t="inlineStr">
        <is>
          <t>KRONOBERGS LÄN</t>
        </is>
      </c>
      <c r="G105" t="inlineStr">
        <is>
          <t>MARKARYD</t>
        </is>
      </c>
      <c r="I105" t="n">
        <v>4.6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61173-2021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44498</v>
      </c>
      <c r="E106" s="1" t="n">
        <v>46307</v>
      </c>
      <c r="F106" t="inlineStr">
        <is>
          <t>KRONOBERGS LÄN</t>
        </is>
      </c>
      <c r="G106" t="inlineStr">
        <is>
          <t>MARKARYD</t>
        </is>
      </c>
      <c r="I106" t="n">
        <v>3.5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25016-2023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45085</v>
      </c>
      <c r="E107" s="1" t="n">
        <v>46307</v>
      </c>
      <c r="F107" t="inlineStr">
        <is>
          <t>KRONOBERGS LÄN</t>
        </is>
      </c>
      <c r="G107" t="inlineStr">
        <is>
          <t>MARKARYD</t>
        </is>
      </c>
      <c r="I107" t="n">
        <v>0.6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19219-2024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45428</v>
      </c>
      <c r="E108" s="1" t="n">
        <v>46307</v>
      </c>
      <c r="F108" t="inlineStr">
        <is>
          <t>KRONOBERGS LÄN</t>
        </is>
      </c>
      <c r="G108" t="inlineStr">
        <is>
          <t>MARKARYD</t>
        </is>
      </c>
      <c r="H108" t="inlineStr">
        <is>
          <t>Sveaskog</t>
        </is>
      </c>
      <c r="I108" t="n">
        <v>5.7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42082-2025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45903</v>
      </c>
      <c r="E109" s="1" t="n">
        <v>46307</v>
      </c>
      <c r="F109" t="inlineStr">
        <is>
          <t>KRONOBERGS LÄN</t>
        </is>
      </c>
      <c r="G109" t="inlineStr">
        <is>
          <t>MARKARYD</t>
        </is>
      </c>
      <c r="I109" t="n">
        <v>8.300000000000001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12422-2023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44999</v>
      </c>
      <c r="E110" s="1" t="n">
        <v>46307</v>
      </c>
      <c r="F110" t="inlineStr">
        <is>
          <t>KRONOBERGS LÄN</t>
        </is>
      </c>
      <c r="G110" t="inlineStr">
        <is>
          <t>MARKARYD</t>
        </is>
      </c>
      <c r="I110" t="n">
        <v>4.9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2363-2022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44579</v>
      </c>
      <c r="E111" s="1" t="n">
        <v>46307</v>
      </c>
      <c r="F111" t="inlineStr">
        <is>
          <t>KRONOBERGS LÄN</t>
        </is>
      </c>
      <c r="G111" t="inlineStr">
        <is>
          <t>MARKARYD</t>
        </is>
      </c>
      <c r="I111" t="n">
        <v>0.7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34117-2024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45524</v>
      </c>
      <c r="E112" s="1" t="n">
        <v>46307</v>
      </c>
      <c r="F112" t="inlineStr">
        <is>
          <t>KRONOBERGS LÄN</t>
        </is>
      </c>
      <c r="G112" t="inlineStr">
        <is>
          <t>MARKARYD</t>
        </is>
      </c>
      <c r="H112" t="inlineStr">
        <is>
          <t>Sveaskog</t>
        </is>
      </c>
      <c r="I112" t="n">
        <v>0.4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53487-2023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45230</v>
      </c>
      <c r="E113" s="1" t="n">
        <v>46307</v>
      </c>
      <c r="F113" t="inlineStr">
        <is>
          <t>KRONOBERGS LÄN</t>
        </is>
      </c>
      <c r="G113" t="inlineStr">
        <is>
          <t>MARKARYD</t>
        </is>
      </c>
      <c r="I113" t="n">
        <v>2.2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51905-2024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45607</v>
      </c>
      <c r="E114" s="1" t="n">
        <v>46307</v>
      </c>
      <c r="F114" t="inlineStr">
        <is>
          <t>KRONOBERGS LÄN</t>
        </is>
      </c>
      <c r="G114" t="inlineStr">
        <is>
          <t>MARKARYD</t>
        </is>
      </c>
      <c r="I114" t="n">
        <v>4.3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43133-2025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45909</v>
      </c>
      <c r="E115" s="1" t="n">
        <v>46307</v>
      </c>
      <c r="F115" t="inlineStr">
        <is>
          <t>KRONOBERGS LÄN</t>
        </is>
      </c>
      <c r="G115" t="inlineStr">
        <is>
          <t>MARKARYD</t>
        </is>
      </c>
      <c r="H115" t="inlineStr">
        <is>
          <t>Kyrkan</t>
        </is>
      </c>
      <c r="I115" t="n">
        <v>0.6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1654-2024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45306</v>
      </c>
      <c r="E116" s="1" t="n">
        <v>46307</v>
      </c>
      <c r="F116" t="inlineStr">
        <is>
          <t>KRONOBERGS LÄN</t>
        </is>
      </c>
      <c r="G116" t="inlineStr">
        <is>
          <t>MARKARYD</t>
        </is>
      </c>
      <c r="I116" t="n">
        <v>1.5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46111-2024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45581</v>
      </c>
      <c r="E117" s="1" t="n">
        <v>46307</v>
      </c>
      <c r="F117" t="inlineStr">
        <is>
          <t>KRONOBERGS LÄN</t>
        </is>
      </c>
      <c r="G117" t="inlineStr">
        <is>
          <t>MARKARYD</t>
        </is>
      </c>
      <c r="I117" t="n">
        <v>1.9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6746-2025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45700</v>
      </c>
      <c r="E118" s="1" t="n">
        <v>46307</v>
      </c>
      <c r="F118" t="inlineStr">
        <is>
          <t>KRONOBERGS LÄN</t>
        </is>
      </c>
      <c r="G118" t="inlineStr">
        <is>
          <t>MARKARYD</t>
        </is>
      </c>
      <c r="I118" t="n">
        <v>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39151-2023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45166</v>
      </c>
      <c r="E119" s="1" t="n">
        <v>46307</v>
      </c>
      <c r="F119" t="inlineStr">
        <is>
          <t>KRONOBERGS LÄN</t>
        </is>
      </c>
      <c r="G119" t="inlineStr">
        <is>
          <t>MARKARYD</t>
        </is>
      </c>
      <c r="I119" t="n">
        <v>0.6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26840-2025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45810</v>
      </c>
      <c r="E120" s="1" t="n">
        <v>46307</v>
      </c>
      <c r="F120" t="inlineStr">
        <is>
          <t>KRONOBERGS LÄN</t>
        </is>
      </c>
      <c r="G120" t="inlineStr">
        <is>
          <t>MARKARYD</t>
        </is>
      </c>
      <c r="I120" t="n">
        <v>1.1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52873-2022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44875</v>
      </c>
      <c r="E121" s="1" t="n">
        <v>46307</v>
      </c>
      <c r="F121" t="inlineStr">
        <is>
          <t>KRONOBERGS LÄN</t>
        </is>
      </c>
      <c r="G121" t="inlineStr">
        <is>
          <t>MARKARYD</t>
        </is>
      </c>
      <c r="I121" t="n">
        <v>5.6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61274-2021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44498</v>
      </c>
      <c r="E122" s="1" t="n">
        <v>46307</v>
      </c>
      <c r="F122" t="inlineStr">
        <is>
          <t>KRONOBERGS LÄN</t>
        </is>
      </c>
      <c r="G122" t="inlineStr">
        <is>
          <t>MARKARYD</t>
        </is>
      </c>
      <c r="I122" t="n">
        <v>1.7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21696-2025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45783</v>
      </c>
      <c r="E123" s="1" t="n">
        <v>46307</v>
      </c>
      <c r="F123" t="inlineStr">
        <is>
          <t>KRONOBERGS LÄN</t>
        </is>
      </c>
      <c r="G123" t="inlineStr">
        <is>
          <t>MARKARYD</t>
        </is>
      </c>
      <c r="I123" t="n">
        <v>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52501-2024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45609</v>
      </c>
      <c r="E124" s="1" t="n">
        <v>46307</v>
      </c>
      <c r="F124" t="inlineStr">
        <is>
          <t>KRONOBERGS LÄN</t>
        </is>
      </c>
      <c r="G124" t="inlineStr">
        <is>
          <t>MARKARYD</t>
        </is>
      </c>
      <c r="I124" t="n">
        <v>2.1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52554-2024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45609</v>
      </c>
      <c r="E125" s="1" t="n">
        <v>46307</v>
      </c>
      <c r="F125" t="inlineStr">
        <is>
          <t>KRONOBERGS LÄN</t>
        </is>
      </c>
      <c r="G125" t="inlineStr">
        <is>
          <t>MARKARYD</t>
        </is>
      </c>
      <c r="I125" t="n">
        <v>1.8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48801-2024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45593</v>
      </c>
      <c r="E126" s="1" t="n">
        <v>46307</v>
      </c>
      <c r="F126" t="inlineStr">
        <is>
          <t>KRONOBERGS LÄN</t>
        </is>
      </c>
      <c r="G126" t="inlineStr">
        <is>
          <t>MARKARYD</t>
        </is>
      </c>
      <c r="I126" t="n">
        <v>2.7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3840-2022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44587</v>
      </c>
      <c r="E127" s="1" t="n">
        <v>46307</v>
      </c>
      <c r="F127" t="inlineStr">
        <is>
          <t>KRONOBERGS LÄN</t>
        </is>
      </c>
      <c r="G127" t="inlineStr">
        <is>
          <t>MARKARYD</t>
        </is>
      </c>
      <c r="I127" t="n">
        <v>6.4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12155-2022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44636</v>
      </c>
      <c r="E128" s="1" t="n">
        <v>46307</v>
      </c>
      <c r="F128" t="inlineStr">
        <is>
          <t>KRONOBERGS LÄN</t>
        </is>
      </c>
      <c r="G128" t="inlineStr">
        <is>
          <t>MARKARYD</t>
        </is>
      </c>
      <c r="I128" t="n">
        <v>2.5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8939-2024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45357</v>
      </c>
      <c r="E129" s="1" t="n">
        <v>46307</v>
      </c>
      <c r="F129" t="inlineStr">
        <is>
          <t>KRONOBERGS LÄN</t>
        </is>
      </c>
      <c r="G129" t="inlineStr">
        <is>
          <t>MARKARYD</t>
        </is>
      </c>
      <c r="I129" t="n">
        <v>0.9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9617-2024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45361</v>
      </c>
      <c r="E130" s="1" t="n">
        <v>46307</v>
      </c>
      <c r="F130" t="inlineStr">
        <is>
          <t>KRONOBERGS LÄN</t>
        </is>
      </c>
      <c r="G130" t="inlineStr">
        <is>
          <t>MARKARYD</t>
        </is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52497-2024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45609</v>
      </c>
      <c r="E131" s="1" t="n">
        <v>46307</v>
      </c>
      <c r="F131" t="inlineStr">
        <is>
          <t>KRONOBERGS LÄN</t>
        </is>
      </c>
      <c r="G131" t="inlineStr">
        <is>
          <t>MARKARYD</t>
        </is>
      </c>
      <c r="I131" t="n">
        <v>1.8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59269-2024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45637</v>
      </c>
      <c r="E132" s="1" t="n">
        <v>46307</v>
      </c>
      <c r="F132" t="inlineStr">
        <is>
          <t>KRONOBERGS LÄN</t>
        </is>
      </c>
      <c r="G132" t="inlineStr">
        <is>
          <t>MARKARYD</t>
        </is>
      </c>
      <c r="H132" t="inlineStr">
        <is>
          <t>Övriga Aktiebolag</t>
        </is>
      </c>
      <c r="I132" t="n">
        <v>3.7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34921-2023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45141</v>
      </c>
      <c r="E133" s="1" t="n">
        <v>46307</v>
      </c>
      <c r="F133" t="inlineStr">
        <is>
          <t>KRONOBERGS LÄN</t>
        </is>
      </c>
      <c r="G133" t="inlineStr">
        <is>
          <t>MARKARYD</t>
        </is>
      </c>
      <c r="H133" t="inlineStr">
        <is>
          <t>Kyrkan</t>
        </is>
      </c>
      <c r="I133" t="n">
        <v>7.5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59262-2024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45637</v>
      </c>
      <c r="E134" s="1" t="n">
        <v>46307</v>
      </c>
      <c r="F134" t="inlineStr">
        <is>
          <t>KRONOBERGS LÄN</t>
        </is>
      </c>
      <c r="G134" t="inlineStr">
        <is>
          <t>MARKARYD</t>
        </is>
      </c>
      <c r="H134" t="inlineStr">
        <is>
          <t>Övriga Aktiebolag</t>
        </is>
      </c>
      <c r="I134" t="n">
        <v>2.3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40608-2024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45556</v>
      </c>
      <c r="E135" s="1" t="n">
        <v>46307</v>
      </c>
      <c r="F135" t="inlineStr">
        <is>
          <t>KRONOBERGS LÄN</t>
        </is>
      </c>
      <c r="G135" t="inlineStr">
        <is>
          <t>MARKARYD</t>
        </is>
      </c>
      <c r="I135" t="n">
        <v>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44671-2025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45917</v>
      </c>
      <c r="E136" s="1" t="n">
        <v>46307</v>
      </c>
      <c r="F136" t="inlineStr">
        <is>
          <t>KRONOBERGS LÄN</t>
        </is>
      </c>
      <c r="G136" t="inlineStr">
        <is>
          <t>MARKARYD</t>
        </is>
      </c>
      <c r="I136" t="n">
        <v>0.7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50297-2023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45216</v>
      </c>
      <c r="E137" s="1" t="n">
        <v>46307</v>
      </c>
      <c r="F137" t="inlineStr">
        <is>
          <t>KRONOBERGS LÄN</t>
        </is>
      </c>
      <c r="G137" t="inlineStr">
        <is>
          <t>MARKARYD</t>
        </is>
      </c>
      <c r="I137" t="n">
        <v>0.5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22131-2024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45444</v>
      </c>
      <c r="E138" s="1" t="n">
        <v>46307</v>
      </c>
      <c r="F138" t="inlineStr">
        <is>
          <t>KRONOBERGS LÄN</t>
        </is>
      </c>
      <c r="G138" t="inlineStr">
        <is>
          <t>MARKARYD</t>
        </is>
      </c>
      <c r="I138" t="n">
        <v>1.9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46554-2024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45582</v>
      </c>
      <c r="E139" s="1" t="n">
        <v>46307</v>
      </c>
      <c r="F139" t="inlineStr">
        <is>
          <t>KRONOBERGS LÄN</t>
        </is>
      </c>
      <c r="G139" t="inlineStr">
        <is>
          <t>MARKARYD</t>
        </is>
      </c>
      <c r="I139" t="n">
        <v>1.2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42188-2024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45562</v>
      </c>
      <c r="E140" s="1" t="n">
        <v>46307</v>
      </c>
      <c r="F140" t="inlineStr">
        <is>
          <t>KRONOBERGS LÄN</t>
        </is>
      </c>
      <c r="G140" t="inlineStr">
        <is>
          <t>MARKARYD</t>
        </is>
      </c>
      <c r="I140" t="n">
        <v>2.1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50155-2024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45600</v>
      </c>
      <c r="E141" s="1" t="n">
        <v>46307</v>
      </c>
      <c r="F141" t="inlineStr">
        <is>
          <t>KRONOBERGS LÄN</t>
        </is>
      </c>
      <c r="G141" t="inlineStr">
        <is>
          <t>MARKARYD</t>
        </is>
      </c>
      <c r="I141" t="n">
        <v>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65581-2021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44516</v>
      </c>
      <c r="E142" s="1" t="n">
        <v>46307</v>
      </c>
      <c r="F142" t="inlineStr">
        <is>
          <t>KRONOBERGS LÄN</t>
        </is>
      </c>
      <c r="G142" t="inlineStr">
        <is>
          <t>MARKARYD</t>
        </is>
      </c>
      <c r="I142" t="n">
        <v>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38921-2024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45547</v>
      </c>
      <c r="E143" s="1" t="n">
        <v>46307</v>
      </c>
      <c r="F143" t="inlineStr">
        <is>
          <t>KRONOBERGS LÄN</t>
        </is>
      </c>
      <c r="G143" t="inlineStr">
        <is>
          <t>MARKARYD</t>
        </is>
      </c>
      <c r="H143" t="inlineStr">
        <is>
          <t>Kyrkan</t>
        </is>
      </c>
      <c r="I143" t="n">
        <v>0.9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45288-2023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45191</v>
      </c>
      <c r="E144" s="1" t="n">
        <v>46307</v>
      </c>
      <c r="F144" t="inlineStr">
        <is>
          <t>KRONOBERGS LÄN</t>
        </is>
      </c>
      <c r="G144" t="inlineStr">
        <is>
          <t>MARKARYD</t>
        </is>
      </c>
      <c r="I144" t="n">
        <v>0.8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25011-2023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45085</v>
      </c>
      <c r="E145" s="1" t="n">
        <v>46307</v>
      </c>
      <c r="F145" t="inlineStr">
        <is>
          <t>KRONOBERGS LÄN</t>
        </is>
      </c>
      <c r="G145" t="inlineStr">
        <is>
          <t>MARKARYD</t>
        </is>
      </c>
      <c r="I145" t="n">
        <v>3.7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74006-2021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44557</v>
      </c>
      <c r="E146" s="1" t="n">
        <v>46307</v>
      </c>
      <c r="F146" t="inlineStr">
        <is>
          <t>KRONOBERGS LÄN</t>
        </is>
      </c>
      <c r="G146" t="inlineStr">
        <is>
          <t>MARKARYD</t>
        </is>
      </c>
      <c r="I146" t="n">
        <v>7.1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48796-2024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45593</v>
      </c>
      <c r="E147" s="1" t="n">
        <v>46307</v>
      </c>
      <c r="F147" t="inlineStr">
        <is>
          <t>KRONOBERGS LÄN</t>
        </is>
      </c>
      <c r="G147" t="inlineStr">
        <is>
          <t>MARKARYD</t>
        </is>
      </c>
      <c r="H147" t="inlineStr">
        <is>
          <t>Kyrkan</t>
        </is>
      </c>
      <c r="I147" t="n">
        <v>1.6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306-2022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44565</v>
      </c>
      <c r="E148" s="1" t="n">
        <v>46307</v>
      </c>
      <c r="F148" t="inlineStr">
        <is>
          <t>KRONOBERGS LÄN</t>
        </is>
      </c>
      <c r="G148" t="inlineStr">
        <is>
          <t>MARKARYD</t>
        </is>
      </c>
      <c r="I148" t="n">
        <v>8.199999999999999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33278-2023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45127</v>
      </c>
      <c r="E149" s="1" t="n">
        <v>46307</v>
      </c>
      <c r="F149" t="inlineStr">
        <is>
          <t>KRONOBERGS LÄN</t>
        </is>
      </c>
      <c r="G149" t="inlineStr">
        <is>
          <t>MARKARYD</t>
        </is>
      </c>
      <c r="I149" t="n">
        <v>0.8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54196-2023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45232</v>
      </c>
      <c r="E150" s="1" t="n">
        <v>46307</v>
      </c>
      <c r="F150" t="inlineStr">
        <is>
          <t>KRONOBERGS LÄN</t>
        </is>
      </c>
      <c r="G150" t="inlineStr">
        <is>
          <t>MARKARYD</t>
        </is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3533-2023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44950</v>
      </c>
      <c r="E151" s="1" t="n">
        <v>46307</v>
      </c>
      <c r="F151" t="inlineStr">
        <is>
          <t>KRONOBERGS LÄN</t>
        </is>
      </c>
      <c r="G151" t="inlineStr">
        <is>
          <t>MARKARYD</t>
        </is>
      </c>
      <c r="I151" t="n">
        <v>13.2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16022-2023</t>
        </is>
      </c>
      <c r="B152" t="inlineStr">
        <is>
          <t>avverkningsanmälan</t>
        </is>
      </c>
      <c r="C152" t="inlineStr">
        <is>
          <t>Avverkning för annat ändamål</t>
        </is>
      </c>
      <c r="D152" s="1" t="n">
        <v>45026</v>
      </c>
      <c r="E152" s="1" t="n">
        <v>46307</v>
      </c>
      <c r="F152" t="inlineStr">
        <is>
          <t>KRONOBERGS LÄN</t>
        </is>
      </c>
      <c r="G152" t="inlineStr">
        <is>
          <t>MARKARYD</t>
        </is>
      </c>
      <c r="I152" t="n">
        <v>1.6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4557-2025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45687</v>
      </c>
      <c r="E153" s="1" t="n">
        <v>46307</v>
      </c>
      <c r="F153" t="inlineStr">
        <is>
          <t>KRONOBERGS LÄN</t>
        </is>
      </c>
      <c r="G153" t="inlineStr">
        <is>
          <t>MARKARYD</t>
        </is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32427-2024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45512</v>
      </c>
      <c r="E154" s="1" t="n">
        <v>46307</v>
      </c>
      <c r="F154" t="inlineStr">
        <is>
          <t>KRONOBERGS LÄN</t>
        </is>
      </c>
      <c r="G154" t="inlineStr">
        <is>
          <t>MARKARYD</t>
        </is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23436-2025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45792</v>
      </c>
      <c r="E155" s="1" t="n">
        <v>46307</v>
      </c>
      <c r="F155" t="inlineStr">
        <is>
          <t>KRONOBERGS LÄN</t>
        </is>
      </c>
      <c r="G155" t="inlineStr">
        <is>
          <t>MARKARYD</t>
        </is>
      </c>
      <c r="I155" t="n">
        <v>4.1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47457-2025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45930</v>
      </c>
      <c r="E156" s="1" t="n">
        <v>46307</v>
      </c>
      <c r="F156" t="inlineStr">
        <is>
          <t>KRONOBERGS LÄN</t>
        </is>
      </c>
      <c r="G156" t="inlineStr">
        <is>
          <t>MARKARYD</t>
        </is>
      </c>
      <c r="I156" t="n">
        <v>3.5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70327-2021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44536</v>
      </c>
      <c r="E157" s="1" t="n">
        <v>46307</v>
      </c>
      <c r="F157" t="inlineStr">
        <is>
          <t>KRONOBERGS LÄN</t>
        </is>
      </c>
      <c r="G157" t="inlineStr">
        <is>
          <t>MARKARYD</t>
        </is>
      </c>
      <c r="I157" t="n">
        <v>2.2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11497-2024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45372</v>
      </c>
      <c r="E158" s="1" t="n">
        <v>46307</v>
      </c>
      <c r="F158" t="inlineStr">
        <is>
          <t>KRONOBERGS LÄN</t>
        </is>
      </c>
      <c r="G158" t="inlineStr">
        <is>
          <t>MARKARYD</t>
        </is>
      </c>
      <c r="I158" t="n">
        <v>1.9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46891-2024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45583</v>
      </c>
      <c r="E159" s="1" t="n">
        <v>46307</v>
      </c>
      <c r="F159" t="inlineStr">
        <is>
          <t>KRONOBERGS LÄN</t>
        </is>
      </c>
      <c r="G159" t="inlineStr">
        <is>
          <t>MARKARYD</t>
        </is>
      </c>
      <c r="I159" t="n">
        <v>0.5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24365-2025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45797</v>
      </c>
      <c r="E160" s="1" t="n">
        <v>46307</v>
      </c>
      <c r="F160" t="inlineStr">
        <is>
          <t>KRONOBERGS LÄN</t>
        </is>
      </c>
      <c r="G160" t="inlineStr">
        <is>
          <t>MARKARYD</t>
        </is>
      </c>
      <c r="H160" t="inlineStr">
        <is>
          <t>Kyrkan</t>
        </is>
      </c>
      <c r="I160" t="n">
        <v>4.9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2896-2022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44581</v>
      </c>
      <c r="E161" s="1" t="n">
        <v>46307</v>
      </c>
      <c r="F161" t="inlineStr">
        <is>
          <t>KRONOBERGS LÄN</t>
        </is>
      </c>
      <c r="G161" t="inlineStr">
        <is>
          <t>MARKARYD</t>
        </is>
      </c>
      <c r="I161" t="n">
        <v>0.6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53742-2023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45230</v>
      </c>
      <c r="E162" s="1" t="n">
        <v>46307</v>
      </c>
      <c r="F162" t="inlineStr">
        <is>
          <t>KRONOBERGS LÄN</t>
        </is>
      </c>
      <c r="G162" t="inlineStr">
        <is>
          <t>MARKARYD</t>
        </is>
      </c>
      <c r="I162" t="n">
        <v>1.4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25421-2025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45800</v>
      </c>
      <c r="E163" s="1" t="n">
        <v>46307</v>
      </c>
      <c r="F163" t="inlineStr">
        <is>
          <t>KRONOBERGS LÄN</t>
        </is>
      </c>
      <c r="G163" t="inlineStr">
        <is>
          <t>MARKARYD</t>
        </is>
      </c>
      <c r="I163" t="n">
        <v>1.7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25423-2025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45800</v>
      </c>
      <c r="E164" s="1" t="n">
        <v>46307</v>
      </c>
      <c r="F164" t="inlineStr">
        <is>
          <t>KRONOBERGS LÄN</t>
        </is>
      </c>
      <c r="G164" t="inlineStr">
        <is>
          <t>MARKARYD</t>
        </is>
      </c>
      <c r="I164" t="n">
        <v>2.7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3138-2025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45678</v>
      </c>
      <c r="E165" s="1" t="n">
        <v>46307</v>
      </c>
      <c r="F165" t="inlineStr">
        <is>
          <t>KRONOBERGS LÄN</t>
        </is>
      </c>
      <c r="G165" t="inlineStr">
        <is>
          <t>MARKARYD</t>
        </is>
      </c>
      <c r="I165" t="n">
        <v>7.8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3139-2025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45678</v>
      </c>
      <c r="E166" s="1" t="n">
        <v>46307</v>
      </c>
      <c r="F166" t="inlineStr">
        <is>
          <t>KRONOBERGS LÄN</t>
        </is>
      </c>
      <c r="G166" t="inlineStr">
        <is>
          <t>MARKARYD</t>
        </is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3143-2025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45678</v>
      </c>
      <c r="E167" s="1" t="n">
        <v>46307</v>
      </c>
      <c r="F167" t="inlineStr">
        <is>
          <t>KRONOBERGS LÄN</t>
        </is>
      </c>
      <c r="G167" t="inlineStr">
        <is>
          <t>MARKARYD</t>
        </is>
      </c>
      <c r="I167" t="n">
        <v>3.7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48828-2023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45209</v>
      </c>
      <c r="E168" s="1" t="n">
        <v>46307</v>
      </c>
      <c r="F168" t="inlineStr">
        <is>
          <t>KRONOBERGS LÄN</t>
        </is>
      </c>
      <c r="G168" t="inlineStr">
        <is>
          <t>MARKARYD</t>
        </is>
      </c>
      <c r="I168" t="n">
        <v>0.6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9669-2023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44984</v>
      </c>
      <c r="E169" s="1" t="n">
        <v>46307</v>
      </c>
      <c r="F169" t="inlineStr">
        <is>
          <t>KRONOBERGS LÄN</t>
        </is>
      </c>
      <c r="G169" t="inlineStr">
        <is>
          <t>MARKARYD</t>
        </is>
      </c>
      <c r="I169" t="n">
        <v>0.7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8494-2023</t>
        </is>
      </c>
      <c r="B170" t="inlineStr">
        <is>
          <t>avverkningsanmälan</t>
        </is>
      </c>
      <c r="C170" t="inlineStr">
        <is>
          <t>Avverkning för annat ändamål</t>
        </is>
      </c>
      <c r="D170" s="1" t="n">
        <v>44977</v>
      </c>
      <c r="E170" s="1" t="n">
        <v>46307</v>
      </c>
      <c r="F170" t="inlineStr">
        <is>
          <t>KRONOBERGS LÄN</t>
        </is>
      </c>
      <c r="G170" t="inlineStr">
        <is>
          <t>MARKARYD</t>
        </is>
      </c>
      <c r="I170" t="n">
        <v>13.6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25621-2023</t>
        </is>
      </c>
      <c r="B171" t="inlineStr">
        <is>
          <t>avverkningsanmälan</t>
        </is>
      </c>
      <c r="C171" t="inlineStr">
        <is>
          <t>Avverkning för annat ändamål</t>
        </is>
      </c>
      <c r="D171" s="1" t="n">
        <v>45089</v>
      </c>
      <c r="E171" s="1" t="n">
        <v>46307</v>
      </c>
      <c r="F171" t="inlineStr">
        <is>
          <t>KRONOBERGS LÄN</t>
        </is>
      </c>
      <c r="G171" t="inlineStr">
        <is>
          <t>MARKARYD</t>
        </is>
      </c>
      <c r="I171" t="n">
        <v>1.2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51202-2023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45219</v>
      </c>
      <c r="E172" s="1" t="n">
        <v>46307</v>
      </c>
      <c r="F172" t="inlineStr">
        <is>
          <t>KRONOBERGS LÄN</t>
        </is>
      </c>
      <c r="G172" t="inlineStr">
        <is>
          <t>MARKARYD</t>
        </is>
      </c>
      <c r="I172" t="n">
        <v>0.5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7935-2025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45707</v>
      </c>
      <c r="E173" s="1" t="n">
        <v>46307</v>
      </c>
      <c r="F173" t="inlineStr">
        <is>
          <t>KRONOBERGS LÄN</t>
        </is>
      </c>
      <c r="G173" t="inlineStr">
        <is>
          <t>MARKARYD</t>
        </is>
      </c>
      <c r="I173" t="n">
        <v>5.6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25957-2023</t>
        </is>
      </c>
      <c r="B174" t="inlineStr">
        <is>
          <t>avverkningsanmälan</t>
        </is>
      </c>
      <c r="C174" t="inlineStr">
        <is>
          <t>Avverkning för annat ändamål</t>
        </is>
      </c>
      <c r="D174" s="1" t="n">
        <v>45090</v>
      </c>
      <c r="E174" s="1" t="n">
        <v>46307</v>
      </c>
      <c r="F174" t="inlineStr">
        <is>
          <t>KRONOBERGS LÄN</t>
        </is>
      </c>
      <c r="G174" t="inlineStr">
        <is>
          <t>MARKARYD</t>
        </is>
      </c>
      <c r="I174" t="n">
        <v>1.7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49992-2025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45942</v>
      </c>
      <c r="E175" s="1" t="n">
        <v>46307</v>
      </c>
      <c r="F175" t="inlineStr">
        <is>
          <t>KRONOBERGS LÄN</t>
        </is>
      </c>
      <c r="G175" t="inlineStr">
        <is>
          <t>MARKARYD</t>
        </is>
      </c>
      <c r="I175" t="n">
        <v>2.6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20141-2024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45434</v>
      </c>
      <c r="E176" s="1" t="n">
        <v>46307</v>
      </c>
      <c r="F176" t="inlineStr">
        <is>
          <t>KRONOBERGS LÄN</t>
        </is>
      </c>
      <c r="G176" t="inlineStr">
        <is>
          <t>MARKARYD</t>
        </is>
      </c>
      <c r="I176" t="n">
        <v>0.7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45275-2023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45191</v>
      </c>
      <c r="E177" s="1" t="n">
        <v>46307</v>
      </c>
      <c r="F177" t="inlineStr">
        <is>
          <t>KRONOBERGS LÄN</t>
        </is>
      </c>
      <c r="G177" t="inlineStr">
        <is>
          <t>MARKARYD</t>
        </is>
      </c>
      <c r="I177" t="n">
        <v>2.5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3146-2025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45678</v>
      </c>
      <c r="E178" s="1" t="n">
        <v>46307</v>
      </c>
      <c r="F178" t="inlineStr">
        <is>
          <t>KRONOBERGS LÄN</t>
        </is>
      </c>
      <c r="G178" t="inlineStr">
        <is>
          <t>MARKARYD</t>
        </is>
      </c>
      <c r="I178" t="n">
        <v>1.2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31603-2023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45117</v>
      </c>
      <c r="E179" s="1" t="n">
        <v>46307</v>
      </c>
      <c r="F179" t="inlineStr">
        <is>
          <t>KRONOBERGS LÄN</t>
        </is>
      </c>
      <c r="G179" t="inlineStr">
        <is>
          <t>MARKARYD</t>
        </is>
      </c>
      <c r="H179" t="inlineStr">
        <is>
          <t>Naturvårdsverket</t>
        </is>
      </c>
      <c r="I179" t="n">
        <v>4.9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64916-2023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45282</v>
      </c>
      <c r="E180" s="1" t="n">
        <v>46307</v>
      </c>
      <c r="F180" t="inlineStr">
        <is>
          <t>KRONOBERGS LÄN</t>
        </is>
      </c>
      <c r="G180" t="inlineStr">
        <is>
          <t>MARKARYD</t>
        </is>
      </c>
      <c r="I180" t="n">
        <v>1.3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20206-2024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45434</v>
      </c>
      <c r="E181" s="1" t="n">
        <v>46307</v>
      </c>
      <c r="F181" t="inlineStr">
        <is>
          <t>KRONOBERGS LÄN</t>
        </is>
      </c>
      <c r="G181" t="inlineStr">
        <is>
          <t>MARKARYD</t>
        </is>
      </c>
      <c r="I181" t="n">
        <v>1.2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55206-2023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45237</v>
      </c>
      <c r="E182" s="1" t="n">
        <v>46307</v>
      </c>
      <c r="F182" t="inlineStr">
        <is>
          <t>KRONOBERGS LÄN</t>
        </is>
      </c>
      <c r="G182" t="inlineStr">
        <is>
          <t>MARKARYD</t>
        </is>
      </c>
      <c r="I182" t="n">
        <v>1.7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56665-2024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45625</v>
      </c>
      <c r="E183" s="1" t="n">
        <v>46307</v>
      </c>
      <c r="F183" t="inlineStr">
        <is>
          <t>KRONOBERGS LÄN</t>
        </is>
      </c>
      <c r="G183" t="inlineStr">
        <is>
          <t>MARKARYD</t>
        </is>
      </c>
      <c r="I183" t="n">
        <v>2.8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34818-2023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45141</v>
      </c>
      <c r="E184" s="1" t="n">
        <v>46307</v>
      </c>
      <c r="F184" t="inlineStr">
        <is>
          <t>KRONOBERGS LÄN</t>
        </is>
      </c>
      <c r="G184" t="inlineStr">
        <is>
          <t>MARKARYD</t>
        </is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17136-2022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44677</v>
      </c>
      <c r="E185" s="1" t="n">
        <v>46307</v>
      </c>
      <c r="F185" t="inlineStr">
        <is>
          <t>KRONOBERGS LÄN</t>
        </is>
      </c>
      <c r="G185" t="inlineStr">
        <is>
          <t>MARKARYD</t>
        </is>
      </c>
      <c r="I185" t="n">
        <v>1.1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24323-2023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45080</v>
      </c>
      <c r="E186" s="1" t="n">
        <v>46307</v>
      </c>
      <c r="F186" t="inlineStr">
        <is>
          <t>KRONOBERGS LÄN</t>
        </is>
      </c>
      <c r="G186" t="inlineStr">
        <is>
          <t>MARKARYD</t>
        </is>
      </c>
      <c r="I186" t="n">
        <v>0.9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62309-2023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45267</v>
      </c>
      <c r="E187" s="1" t="n">
        <v>46307</v>
      </c>
      <c r="F187" t="inlineStr">
        <is>
          <t>KRONOBERGS LÄN</t>
        </is>
      </c>
      <c r="G187" t="inlineStr">
        <is>
          <t>MARKARYD</t>
        </is>
      </c>
      <c r="I187" t="n">
        <v>13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60118-2023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45258</v>
      </c>
      <c r="E188" s="1" t="n">
        <v>46307</v>
      </c>
      <c r="F188" t="inlineStr">
        <is>
          <t>KRONOBERGS LÄN</t>
        </is>
      </c>
      <c r="G188" t="inlineStr">
        <is>
          <t>MARKARYD</t>
        </is>
      </c>
      <c r="I188" t="n">
        <v>0.9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39483-2022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44818</v>
      </c>
      <c r="E189" s="1" t="n">
        <v>46307</v>
      </c>
      <c r="F189" t="inlineStr">
        <is>
          <t>KRONOBERGS LÄN</t>
        </is>
      </c>
      <c r="G189" t="inlineStr">
        <is>
          <t>MARKARYD</t>
        </is>
      </c>
      <c r="I189" t="n">
        <v>1.3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24287-2023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45079</v>
      </c>
      <c r="E190" s="1" t="n">
        <v>46307</v>
      </c>
      <c r="F190" t="inlineStr">
        <is>
          <t>KRONOBERGS LÄN</t>
        </is>
      </c>
      <c r="G190" t="inlineStr">
        <is>
          <t>MARKARYD</t>
        </is>
      </c>
      <c r="I190" t="n">
        <v>0.6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24322-2023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45080</v>
      </c>
      <c r="E191" s="1" t="n">
        <v>46307</v>
      </c>
      <c r="F191" t="inlineStr">
        <is>
          <t>KRONOBERGS LÄN</t>
        </is>
      </c>
      <c r="G191" t="inlineStr">
        <is>
          <t>MARKARYD</t>
        </is>
      </c>
      <c r="I191" t="n">
        <v>1.4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42536-2023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45181</v>
      </c>
      <c r="E192" s="1" t="n">
        <v>46307</v>
      </c>
      <c r="F192" t="inlineStr">
        <is>
          <t>KRONOBERGS LÄN</t>
        </is>
      </c>
      <c r="G192" t="inlineStr">
        <is>
          <t>MARKARYD</t>
        </is>
      </c>
      <c r="I192" t="n">
        <v>0.7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10702-2023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44984</v>
      </c>
      <c r="E193" s="1" t="n">
        <v>46307</v>
      </c>
      <c r="F193" t="inlineStr">
        <is>
          <t>KRONOBERGS LÄN</t>
        </is>
      </c>
      <c r="G193" t="inlineStr">
        <is>
          <t>MARKARYD</t>
        </is>
      </c>
      <c r="I193" t="n">
        <v>5.9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17684-2024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45418</v>
      </c>
      <c r="E194" s="1" t="n">
        <v>46307</v>
      </c>
      <c r="F194" t="inlineStr">
        <is>
          <t>KRONOBERGS LÄN</t>
        </is>
      </c>
      <c r="G194" t="inlineStr">
        <is>
          <t>MARKARYD</t>
        </is>
      </c>
      <c r="I194" t="n">
        <v>1.3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42671-2023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45181</v>
      </c>
      <c r="E195" s="1" t="n">
        <v>46307</v>
      </c>
      <c r="F195" t="inlineStr">
        <is>
          <t>KRONOBERGS LÄN</t>
        </is>
      </c>
      <c r="G195" t="inlineStr">
        <is>
          <t>MARKARYD</t>
        </is>
      </c>
      <c r="H195" t="inlineStr">
        <is>
          <t>Sveaskog</t>
        </is>
      </c>
      <c r="I195" t="n">
        <v>0.6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37884-2023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45160</v>
      </c>
      <c r="E196" s="1" t="n">
        <v>46307</v>
      </c>
      <c r="F196" t="inlineStr">
        <is>
          <t>KRONOBERGS LÄN</t>
        </is>
      </c>
      <c r="G196" t="inlineStr">
        <is>
          <t>MARKARYD</t>
        </is>
      </c>
      <c r="I196" t="n">
        <v>13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11065-2023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44992</v>
      </c>
      <c r="E197" s="1" t="n">
        <v>46307</v>
      </c>
      <c r="F197" t="inlineStr">
        <is>
          <t>KRONOBERGS LÄN</t>
        </is>
      </c>
      <c r="G197" t="inlineStr">
        <is>
          <t>MARKARYD</t>
        </is>
      </c>
      <c r="I197" t="n">
        <v>1.1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27365-2024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45473</v>
      </c>
      <c r="E198" s="1" t="n">
        <v>46307</v>
      </c>
      <c r="F198" t="inlineStr">
        <is>
          <t>KRONOBERGS LÄN</t>
        </is>
      </c>
      <c r="G198" t="inlineStr">
        <is>
          <t>MARKARYD</t>
        </is>
      </c>
      <c r="I198" t="n">
        <v>0.5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3809-2025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45681</v>
      </c>
      <c r="E199" s="1" t="n">
        <v>46307</v>
      </c>
      <c r="F199" t="inlineStr">
        <is>
          <t>KRONOBERGS LÄN</t>
        </is>
      </c>
      <c r="G199" t="inlineStr">
        <is>
          <t>MARKARYD</t>
        </is>
      </c>
      <c r="I199" t="n">
        <v>0.9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3583-2025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45680</v>
      </c>
      <c r="E200" s="1" t="n">
        <v>46307</v>
      </c>
      <c r="F200" t="inlineStr">
        <is>
          <t>KRONOBERGS LÄN</t>
        </is>
      </c>
      <c r="G200" t="inlineStr">
        <is>
          <t>MARKARYD</t>
        </is>
      </c>
      <c r="I200" t="n">
        <v>1.5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4575-2023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44956</v>
      </c>
      <c r="E201" s="1" t="n">
        <v>46307</v>
      </c>
      <c r="F201" t="inlineStr">
        <is>
          <t>KRONOBERGS LÄN</t>
        </is>
      </c>
      <c r="G201" t="inlineStr">
        <is>
          <t>MARKARYD</t>
        </is>
      </c>
      <c r="I201" t="n">
        <v>0.8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3140-2025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45678</v>
      </c>
      <c r="E202" s="1" t="n">
        <v>46307</v>
      </c>
      <c r="F202" t="inlineStr">
        <is>
          <t>KRONOBERGS LÄN</t>
        </is>
      </c>
      <c r="G202" t="inlineStr">
        <is>
          <t>MARKARYD</t>
        </is>
      </c>
      <c r="I202" t="n">
        <v>9.4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3141-2025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45678</v>
      </c>
      <c r="E203" s="1" t="n">
        <v>46307</v>
      </c>
      <c r="F203" t="inlineStr">
        <is>
          <t>KRONOBERGS LÄN</t>
        </is>
      </c>
      <c r="G203" t="inlineStr">
        <is>
          <t>MARKARYD</t>
        </is>
      </c>
      <c r="I203" t="n">
        <v>1.7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3145-2025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45678</v>
      </c>
      <c r="E204" s="1" t="n">
        <v>46307</v>
      </c>
      <c r="F204" t="inlineStr">
        <is>
          <t>KRONOBERGS LÄN</t>
        </is>
      </c>
      <c r="G204" t="inlineStr">
        <is>
          <t>MARKARYD</t>
        </is>
      </c>
      <c r="I204" t="n">
        <v>3.4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15275-2024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45400</v>
      </c>
      <c r="E205" s="1" t="n">
        <v>46307</v>
      </c>
      <c r="F205" t="inlineStr">
        <is>
          <t>KRONOBERGS LÄN</t>
        </is>
      </c>
      <c r="G205" t="inlineStr">
        <is>
          <t>MARKARYD</t>
        </is>
      </c>
      <c r="I205" t="n">
        <v>0.7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412-2025</t>
        </is>
      </c>
      <c r="B206" t="inlineStr">
        <is>
          <t>avverkningsanmälan</t>
        </is>
      </c>
      <c r="C206" t="inlineStr">
        <is>
          <t>Avverkning för annat ändamål</t>
        </is>
      </c>
      <c r="D206" s="1" t="n">
        <v>45663</v>
      </c>
      <c r="E206" s="1" t="n">
        <v>46307</v>
      </c>
      <c r="F206" t="inlineStr">
        <is>
          <t>KRONOBERGS LÄN</t>
        </is>
      </c>
      <c r="G206" t="inlineStr">
        <is>
          <t>MARKARYD</t>
        </is>
      </c>
      <c r="I206" t="n">
        <v>0.3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42692-2023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45181</v>
      </c>
      <c r="E207" s="1" t="n">
        <v>46307</v>
      </c>
      <c r="F207" t="inlineStr">
        <is>
          <t>KRONOBERGS LÄN</t>
        </is>
      </c>
      <c r="G207" t="inlineStr">
        <is>
          <t>MARKARYD</t>
        </is>
      </c>
      <c r="H207" t="inlineStr">
        <is>
          <t>Sveaskog</t>
        </is>
      </c>
      <c r="I207" t="n">
        <v>0.3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53628-2024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45614</v>
      </c>
      <c r="E208" s="1" t="n">
        <v>46307</v>
      </c>
      <c r="F208" t="inlineStr">
        <is>
          <t>KRONOBERGS LÄN</t>
        </is>
      </c>
      <c r="G208" t="inlineStr">
        <is>
          <t>MARKARYD</t>
        </is>
      </c>
      <c r="I208" t="n">
        <v>3.2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51240-2023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45219</v>
      </c>
      <c r="E209" s="1" t="n">
        <v>46307</v>
      </c>
      <c r="F209" t="inlineStr">
        <is>
          <t>KRONOBERGS LÄN</t>
        </is>
      </c>
      <c r="G209" t="inlineStr">
        <is>
          <t>MARKARYD</t>
        </is>
      </c>
      <c r="I209" t="n">
        <v>1.8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33819-2025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45842</v>
      </c>
      <c r="E210" s="1" t="n">
        <v>46307</v>
      </c>
      <c r="F210" t="inlineStr">
        <is>
          <t>KRONOBERGS LÄN</t>
        </is>
      </c>
      <c r="G210" t="inlineStr">
        <is>
          <t>MARKARYD</t>
        </is>
      </c>
      <c r="I210" t="n">
        <v>1.5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33821-2025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45842</v>
      </c>
      <c r="E211" s="1" t="n">
        <v>46307</v>
      </c>
      <c r="F211" t="inlineStr">
        <is>
          <t>KRONOBERGS LÄN</t>
        </is>
      </c>
      <c r="G211" t="inlineStr">
        <is>
          <t>MARKARYD</t>
        </is>
      </c>
      <c r="I211" t="n">
        <v>0.4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10175-2025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45719</v>
      </c>
      <c r="E212" s="1" t="n">
        <v>46307</v>
      </c>
      <c r="F212" t="inlineStr">
        <is>
          <t>KRONOBERGS LÄN</t>
        </is>
      </c>
      <c r="G212" t="inlineStr">
        <is>
          <t>MARKARYD</t>
        </is>
      </c>
      <c r="I212" t="n">
        <v>8.6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60369-2024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45643</v>
      </c>
      <c r="E213" s="1" t="n">
        <v>46307</v>
      </c>
      <c r="F213" t="inlineStr">
        <is>
          <t>KRONOBERGS LÄN</t>
        </is>
      </c>
      <c r="G213" t="inlineStr">
        <is>
          <t>MARKARYD</t>
        </is>
      </c>
      <c r="I213" t="n">
        <v>1.9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32024-2023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45107</v>
      </c>
      <c r="E214" s="1" t="n">
        <v>46307</v>
      </c>
      <c r="F214" t="inlineStr">
        <is>
          <t>KRONOBERGS LÄN</t>
        </is>
      </c>
      <c r="G214" t="inlineStr">
        <is>
          <t>MARKARYD</t>
        </is>
      </c>
      <c r="H214" t="inlineStr">
        <is>
          <t>Kyrkan</t>
        </is>
      </c>
      <c r="I214" t="n">
        <v>2.1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35285-2022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44798</v>
      </c>
      <c r="E215" s="1" t="n">
        <v>46307</v>
      </c>
      <c r="F215" t="inlineStr">
        <is>
          <t>KRONOBERGS LÄN</t>
        </is>
      </c>
      <c r="G215" t="inlineStr">
        <is>
          <t>MARKARYD</t>
        </is>
      </c>
      <c r="I215" t="n">
        <v>1.1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33882-2022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44790</v>
      </c>
      <c r="E216" s="1" t="n">
        <v>46307</v>
      </c>
      <c r="F216" t="inlineStr">
        <is>
          <t>KRONOBERGS LÄN</t>
        </is>
      </c>
      <c r="G216" t="inlineStr">
        <is>
          <t>MARKARYD</t>
        </is>
      </c>
      <c r="I216" t="n">
        <v>3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64776-2023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45281</v>
      </c>
      <c r="E217" s="1" t="n">
        <v>46307</v>
      </c>
      <c r="F217" t="inlineStr">
        <is>
          <t>KRONOBERGS LÄN</t>
        </is>
      </c>
      <c r="G217" t="inlineStr">
        <is>
          <t>MARKARYD</t>
        </is>
      </c>
      <c r="H217" t="inlineStr">
        <is>
          <t>Kyrkan</t>
        </is>
      </c>
      <c r="I217" t="n">
        <v>0.8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424-2024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45296</v>
      </c>
      <c r="E218" s="1" t="n">
        <v>46307</v>
      </c>
      <c r="F218" t="inlineStr">
        <is>
          <t>KRONOBERGS LÄN</t>
        </is>
      </c>
      <c r="G218" t="inlineStr">
        <is>
          <t>MARKARYD</t>
        </is>
      </c>
      <c r="I218" t="n">
        <v>0.4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8501-2023</t>
        </is>
      </c>
      <c r="B219" t="inlineStr">
        <is>
          <t>avverkningsanmälan</t>
        </is>
      </c>
      <c r="C219" t="inlineStr">
        <is>
          <t>Avverkning för annat ändamål</t>
        </is>
      </c>
      <c r="D219" s="1" t="n">
        <v>44977</v>
      </c>
      <c r="E219" s="1" t="n">
        <v>46307</v>
      </c>
      <c r="F219" t="inlineStr">
        <is>
          <t>KRONOBERGS LÄN</t>
        </is>
      </c>
      <c r="G219" t="inlineStr">
        <is>
          <t>MARKARYD</t>
        </is>
      </c>
      <c r="I219" t="n">
        <v>20.7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1656-2024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45306</v>
      </c>
      <c r="E220" s="1" t="n">
        <v>46307</v>
      </c>
      <c r="F220" t="inlineStr">
        <is>
          <t>KRONOBERGS LÄN</t>
        </is>
      </c>
      <c r="G220" t="inlineStr">
        <is>
          <t>MARKARYD</t>
        </is>
      </c>
      <c r="I220" t="n">
        <v>3.9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26549-2023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45092</v>
      </c>
      <c r="E221" s="1" t="n">
        <v>46307</v>
      </c>
      <c r="F221" t="inlineStr">
        <is>
          <t>KRONOBERGS LÄN</t>
        </is>
      </c>
      <c r="G221" t="inlineStr">
        <is>
          <t>MARKARYD</t>
        </is>
      </c>
      <c r="I221" t="n">
        <v>1.1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59985-2023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45257</v>
      </c>
      <c r="E222" s="1" t="n">
        <v>46307</v>
      </c>
      <c r="F222" t="inlineStr">
        <is>
          <t>KRONOBERGS LÄN</t>
        </is>
      </c>
      <c r="G222" t="inlineStr">
        <is>
          <t>MARKARYD</t>
        </is>
      </c>
      <c r="I222" t="n">
        <v>2.9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38005-2025</t>
        </is>
      </c>
      <c r="B223" t="inlineStr">
        <is>
          <t>avverkningsanmälan</t>
        </is>
      </c>
      <c r="C223" t="inlineStr">
        <is>
          <t>Avverkning för annat ändamål</t>
        </is>
      </c>
      <c r="D223" s="1" t="n">
        <v>45882</v>
      </c>
      <c r="E223" s="1" t="n">
        <v>46307</v>
      </c>
      <c r="F223" t="inlineStr">
        <is>
          <t>KRONOBERGS LÄN</t>
        </is>
      </c>
      <c r="G223" t="inlineStr">
        <is>
          <t>MARKARYD</t>
        </is>
      </c>
      <c r="I223" t="n">
        <v>0.2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53505-2023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45230</v>
      </c>
      <c r="E224" s="1" t="n">
        <v>46307</v>
      </c>
      <c r="F224" t="inlineStr">
        <is>
          <t>KRONOBERGS LÄN</t>
        </is>
      </c>
      <c r="G224" t="inlineStr">
        <is>
          <t>MARKARYD</t>
        </is>
      </c>
      <c r="I224" t="n">
        <v>0.7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28086-2024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45476</v>
      </c>
      <c r="E225" s="1" t="n">
        <v>46307</v>
      </c>
      <c r="F225" t="inlineStr">
        <is>
          <t>KRONOBERGS LÄN</t>
        </is>
      </c>
      <c r="G225" t="inlineStr">
        <is>
          <t>MARKARYD</t>
        </is>
      </c>
      <c r="I225" t="n">
        <v>2.4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64512-2023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45281</v>
      </c>
      <c r="E226" s="1" t="n">
        <v>46307</v>
      </c>
      <c r="F226" t="inlineStr">
        <is>
          <t>KRONOBERGS LÄN</t>
        </is>
      </c>
      <c r="G226" t="inlineStr">
        <is>
          <t>MARKARYD</t>
        </is>
      </c>
      <c r="I226" t="n">
        <v>0.9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19233-2025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45769</v>
      </c>
      <c r="E227" s="1" t="n">
        <v>46307</v>
      </c>
      <c r="F227" t="inlineStr">
        <is>
          <t>KRONOBERGS LÄN</t>
        </is>
      </c>
      <c r="G227" t="inlineStr">
        <is>
          <t>MARKARYD</t>
        </is>
      </c>
      <c r="I227" t="n">
        <v>2.7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44827-2022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44839</v>
      </c>
      <c r="E228" s="1" t="n">
        <v>46307</v>
      </c>
      <c r="F228" t="inlineStr">
        <is>
          <t>KRONOBERGS LÄN</t>
        </is>
      </c>
      <c r="G228" t="inlineStr">
        <is>
          <t>MARKARYD</t>
        </is>
      </c>
      <c r="H228" t="inlineStr">
        <is>
          <t>Kyrkan</t>
        </is>
      </c>
      <c r="I228" t="n">
        <v>2.3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56008-2023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45240</v>
      </c>
      <c r="E229" s="1" t="n">
        <v>46307</v>
      </c>
      <c r="F229" t="inlineStr">
        <is>
          <t>KRONOBERGS LÄN</t>
        </is>
      </c>
      <c r="G229" t="inlineStr">
        <is>
          <t>MARKARYD</t>
        </is>
      </c>
      <c r="I229" t="n">
        <v>2.9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40514-2023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45170</v>
      </c>
      <c r="E230" s="1" t="n">
        <v>46307</v>
      </c>
      <c r="F230" t="inlineStr">
        <is>
          <t>KRONOBERGS LÄN</t>
        </is>
      </c>
      <c r="G230" t="inlineStr">
        <is>
          <t>MARKARYD</t>
        </is>
      </c>
      <c r="I230" t="n">
        <v>0.6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19240-2025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45769</v>
      </c>
      <c r="E231" s="1" t="n">
        <v>46307</v>
      </c>
      <c r="F231" t="inlineStr">
        <is>
          <t>KRONOBERGS LÄN</t>
        </is>
      </c>
      <c r="G231" t="inlineStr">
        <is>
          <t>MARKARYD</t>
        </is>
      </c>
      <c r="I231" t="n">
        <v>2.5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16711-2022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44673</v>
      </c>
      <c r="E232" s="1" t="n">
        <v>46307</v>
      </c>
      <c r="F232" t="inlineStr">
        <is>
          <t>KRONOBERGS LÄN</t>
        </is>
      </c>
      <c r="G232" t="inlineStr">
        <is>
          <t>MARKARYD</t>
        </is>
      </c>
      <c r="I232" t="n">
        <v>0.7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16712-2022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44673</v>
      </c>
      <c r="E233" s="1" t="n">
        <v>46307</v>
      </c>
      <c r="F233" t="inlineStr">
        <is>
          <t>KRONOBERGS LÄN</t>
        </is>
      </c>
      <c r="G233" t="inlineStr">
        <is>
          <t>MARKARYD</t>
        </is>
      </c>
      <c r="I233" t="n">
        <v>3.8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37026-2025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45874</v>
      </c>
      <c r="E234" s="1" t="n">
        <v>46307</v>
      </c>
      <c r="F234" t="inlineStr">
        <is>
          <t>KRONOBERGS LÄN</t>
        </is>
      </c>
      <c r="G234" t="inlineStr">
        <is>
          <t>MARKARYD</t>
        </is>
      </c>
      <c r="I234" t="n">
        <v>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40852-2023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45173</v>
      </c>
      <c r="E235" s="1" t="n">
        <v>46307</v>
      </c>
      <c r="F235" t="inlineStr">
        <is>
          <t>KRONOBERGS LÄN</t>
        </is>
      </c>
      <c r="G235" t="inlineStr">
        <is>
          <t>MARKARYD</t>
        </is>
      </c>
      <c r="I235" t="n">
        <v>0.5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37603-2025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45880</v>
      </c>
      <c r="E236" s="1" t="n">
        <v>46307</v>
      </c>
      <c r="F236" t="inlineStr">
        <is>
          <t>KRONOBERGS LÄN</t>
        </is>
      </c>
      <c r="G236" t="inlineStr">
        <is>
          <t>MARKARYD</t>
        </is>
      </c>
      <c r="I236" t="n">
        <v>0.8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61639-2023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45265</v>
      </c>
      <c r="E237" s="1" t="n">
        <v>46307</v>
      </c>
      <c r="F237" t="inlineStr">
        <is>
          <t>KRONOBERGS LÄN</t>
        </is>
      </c>
      <c r="G237" t="inlineStr">
        <is>
          <t>MARKARYD</t>
        </is>
      </c>
      <c r="I237" t="n">
        <v>5.6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49695-2023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45212</v>
      </c>
      <c r="E238" s="1" t="n">
        <v>46307</v>
      </c>
      <c r="F238" t="inlineStr">
        <is>
          <t>KRONOBERGS LÄN</t>
        </is>
      </c>
      <c r="G238" t="inlineStr">
        <is>
          <t>MARKARYD</t>
        </is>
      </c>
      <c r="I238" t="n">
        <v>3.3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37610-2025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45880</v>
      </c>
      <c r="E239" s="1" t="n">
        <v>46307</v>
      </c>
      <c r="F239" t="inlineStr">
        <is>
          <t>KRONOBERGS LÄN</t>
        </is>
      </c>
      <c r="G239" t="inlineStr">
        <is>
          <t>MARKARYD</t>
        </is>
      </c>
      <c r="I239" t="n">
        <v>0.5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50927-2023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45218</v>
      </c>
      <c r="E240" s="1" t="n">
        <v>46307</v>
      </c>
      <c r="F240" t="inlineStr">
        <is>
          <t>KRONOBERGS LÄN</t>
        </is>
      </c>
      <c r="G240" t="inlineStr">
        <is>
          <t>MARKARYD</t>
        </is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62518-2023</t>
        </is>
      </c>
      <c r="B241" t="inlineStr">
        <is>
          <t>avverkningsanmälan</t>
        </is>
      </c>
      <c r="C241" t="inlineStr">
        <is>
          <t>Föryngringsavverkning</t>
        </is>
      </c>
      <c r="D241" s="1" t="n">
        <v>45268</v>
      </c>
      <c r="E241" s="1" t="n">
        <v>46307</v>
      </c>
      <c r="F241" t="inlineStr">
        <is>
          <t>KRONOBERGS LÄN</t>
        </is>
      </c>
      <c r="G241" t="inlineStr">
        <is>
          <t>MARKARYD</t>
        </is>
      </c>
      <c r="H241" t="inlineStr">
        <is>
          <t>Sveaskog</t>
        </is>
      </c>
      <c r="I241" t="n">
        <v>1.9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45848-2023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45195</v>
      </c>
      <c r="E242" s="1" t="n">
        <v>46307</v>
      </c>
      <c r="F242" t="inlineStr">
        <is>
          <t>KRONOBERGS LÄN</t>
        </is>
      </c>
      <c r="G242" t="inlineStr">
        <is>
          <t>MARKARYD</t>
        </is>
      </c>
      <c r="I242" t="n">
        <v>4.5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14382-2026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46100</v>
      </c>
      <c r="E243" s="1" t="n">
        <v>46307</v>
      </c>
      <c r="F243" t="inlineStr">
        <is>
          <t>KRONOBERGS LÄN</t>
        </is>
      </c>
      <c r="G243" t="inlineStr">
        <is>
          <t>MARKARYD</t>
        </is>
      </c>
      <c r="I243" t="n">
        <v>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14376-2026</t>
        </is>
      </c>
      <c r="B244" t="inlineStr">
        <is>
          <t>avverkningsanmälan</t>
        </is>
      </c>
      <c r="C244" t="inlineStr">
        <is>
          <t>Föryngringsavverkning</t>
        </is>
      </c>
      <c r="D244" s="1" t="n">
        <v>46100</v>
      </c>
      <c r="E244" s="1" t="n">
        <v>46307</v>
      </c>
      <c r="F244" t="inlineStr">
        <is>
          <t>KRONOBERGS LÄN</t>
        </is>
      </c>
      <c r="G244" t="inlineStr">
        <is>
          <t>MARKARYD</t>
        </is>
      </c>
      <c r="I244" t="n">
        <v>4.3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14380-2026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46100</v>
      </c>
      <c r="E245" s="1" t="n">
        <v>46307</v>
      </c>
      <c r="F245" t="inlineStr">
        <is>
          <t>KRONOBERGS LÄN</t>
        </is>
      </c>
      <c r="G245" t="inlineStr">
        <is>
          <t>MARKARYD</t>
        </is>
      </c>
      <c r="I245" t="n">
        <v>1.6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47775-2023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45203</v>
      </c>
      <c r="E246" s="1" t="n">
        <v>46307</v>
      </c>
      <c r="F246" t="inlineStr">
        <is>
          <t>KRONOBERGS LÄN</t>
        </is>
      </c>
      <c r="G246" t="inlineStr">
        <is>
          <t>MARKARYD</t>
        </is>
      </c>
      <c r="I246" t="n">
        <v>0.5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23148-2023</t>
        </is>
      </c>
      <c r="B247" t="inlineStr">
        <is>
          <t>avverkningsanmälan</t>
        </is>
      </c>
      <c r="C247" t="inlineStr">
        <is>
          <t>Föryngringsavverkning</t>
        </is>
      </c>
      <c r="D247" s="1" t="n">
        <v>45075</v>
      </c>
      <c r="E247" s="1" t="n">
        <v>46307</v>
      </c>
      <c r="F247" t="inlineStr">
        <is>
          <t>KRONOBERGS LÄN</t>
        </is>
      </c>
      <c r="G247" t="inlineStr">
        <is>
          <t>MARKARYD</t>
        </is>
      </c>
      <c r="H247" t="inlineStr">
        <is>
          <t>Övriga Aktiebolag</t>
        </is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11781-2023</t>
        </is>
      </c>
      <c r="B248" t="inlineStr">
        <is>
          <t>avverkningsanmälan</t>
        </is>
      </c>
      <c r="C248" t="inlineStr">
        <is>
          <t>Avverkning för annat ändamål</t>
        </is>
      </c>
      <c r="D248" s="1" t="n">
        <v>44994</v>
      </c>
      <c r="E248" s="1" t="n">
        <v>46307</v>
      </c>
      <c r="F248" t="inlineStr">
        <is>
          <t>KRONOBERGS LÄN</t>
        </is>
      </c>
      <c r="G248" t="inlineStr">
        <is>
          <t>MARKARYD</t>
        </is>
      </c>
      <c r="I248" t="n">
        <v>4.7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54819-2023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45236</v>
      </c>
      <c r="E249" s="1" t="n">
        <v>46307</v>
      </c>
      <c r="F249" t="inlineStr">
        <is>
          <t>KRONOBERGS LÄN</t>
        </is>
      </c>
      <c r="G249" t="inlineStr">
        <is>
          <t>MARKARYD</t>
        </is>
      </c>
      <c r="I249" t="n">
        <v>2.4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16219-2026</t>
        </is>
      </c>
      <c r="B250" t="inlineStr">
        <is>
          <t>avverkningsanmälan</t>
        </is>
      </c>
      <c r="C250" t="inlineStr">
        <is>
          <t>Föryngringsavverkning</t>
        </is>
      </c>
      <c r="D250" s="1" t="n">
        <v>46111</v>
      </c>
      <c r="E250" s="1" t="n">
        <v>46307</v>
      </c>
      <c r="F250" t="inlineStr">
        <is>
          <t>KRONOBERGS LÄN</t>
        </is>
      </c>
      <c r="G250" t="inlineStr">
        <is>
          <t>MARKARYD</t>
        </is>
      </c>
      <c r="I250" t="n">
        <v>4.2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64509-2023</t>
        </is>
      </c>
      <c r="B251" t="inlineStr">
        <is>
          <t>avverkningsanmälan</t>
        </is>
      </c>
      <c r="C251" t="inlineStr">
        <is>
          <t>Föryngringsavverkning</t>
        </is>
      </c>
      <c r="D251" s="1" t="n">
        <v>45281</v>
      </c>
      <c r="E251" s="1" t="n">
        <v>46307</v>
      </c>
      <c r="F251" t="inlineStr">
        <is>
          <t>KRONOBERGS LÄN</t>
        </is>
      </c>
      <c r="G251" t="inlineStr">
        <is>
          <t>MARKARYD</t>
        </is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45386-2022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44844</v>
      </c>
      <c r="E252" s="1" t="n">
        <v>46307</v>
      </c>
      <c r="F252" t="inlineStr">
        <is>
          <t>KRONOBERGS LÄN</t>
        </is>
      </c>
      <c r="G252" t="inlineStr">
        <is>
          <t>MARKARYD</t>
        </is>
      </c>
      <c r="H252" t="inlineStr">
        <is>
          <t>Sveaskog</t>
        </is>
      </c>
      <c r="I252" t="n">
        <v>3.7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56824-2024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45628</v>
      </c>
      <c r="E253" s="1" t="n">
        <v>46307</v>
      </c>
      <c r="F253" t="inlineStr">
        <is>
          <t>KRONOBERGS LÄN</t>
        </is>
      </c>
      <c r="G253" t="inlineStr">
        <is>
          <t>MARKARYD</t>
        </is>
      </c>
      <c r="I253" t="n">
        <v>1.4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1052-2023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44935</v>
      </c>
      <c r="E254" s="1" t="n">
        <v>46307</v>
      </c>
      <c r="F254" t="inlineStr">
        <is>
          <t>KRONOBERGS LÄN</t>
        </is>
      </c>
      <c r="G254" t="inlineStr">
        <is>
          <t>MARKARYD</t>
        </is>
      </c>
      <c r="I254" t="n">
        <v>1.5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1080-2023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44935</v>
      </c>
      <c r="E255" s="1" t="n">
        <v>46307</v>
      </c>
      <c r="F255" t="inlineStr">
        <is>
          <t>KRONOBERGS LÄN</t>
        </is>
      </c>
      <c r="G255" t="inlineStr">
        <is>
          <t>MARKARYD</t>
        </is>
      </c>
      <c r="I255" t="n">
        <v>1.2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73861-2021</t>
        </is>
      </c>
      <c r="B256" t="inlineStr">
        <is>
          <t>avverkningsanmälan</t>
        </is>
      </c>
      <c r="C256" t="inlineStr">
        <is>
          <t>Föryngringsavverkning</t>
        </is>
      </c>
      <c r="D256" s="1" t="n">
        <v>44553</v>
      </c>
      <c r="E256" s="1" t="n">
        <v>46307</v>
      </c>
      <c r="F256" t="inlineStr">
        <is>
          <t>KRONOBERGS LÄN</t>
        </is>
      </c>
      <c r="G256" t="inlineStr">
        <is>
          <t>MARKARYD</t>
        </is>
      </c>
      <c r="I256" t="n">
        <v>3.4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60457-2022</t>
        </is>
      </c>
      <c r="B257" t="inlineStr">
        <is>
          <t>avverkningsanmälan</t>
        </is>
      </c>
      <c r="C257" t="inlineStr">
        <is>
          <t>Föryngringsavverkning</t>
        </is>
      </c>
      <c r="D257" s="1" t="n">
        <v>44911</v>
      </c>
      <c r="E257" s="1" t="n">
        <v>46307</v>
      </c>
      <c r="F257" t="inlineStr">
        <is>
          <t>KRONOBERGS LÄN</t>
        </is>
      </c>
      <c r="G257" t="inlineStr">
        <is>
          <t>MARKARYD</t>
        </is>
      </c>
      <c r="I257" t="n">
        <v>1.4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12854-2023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45000</v>
      </c>
      <c r="E258" s="1" t="n">
        <v>46307</v>
      </c>
      <c r="F258" t="inlineStr">
        <is>
          <t>KRONOBERGS LÄN</t>
        </is>
      </c>
      <c r="G258" t="inlineStr">
        <is>
          <t>MARKARYD</t>
        </is>
      </c>
      <c r="H258" t="inlineStr">
        <is>
          <t>Kyrkan</t>
        </is>
      </c>
      <c r="I258" t="n">
        <v>2.3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6554-2022</t>
        </is>
      </c>
      <c r="B259" t="inlineStr">
        <is>
          <t>avverkningsanmälan</t>
        </is>
      </c>
      <c r="C259" t="inlineStr">
        <is>
          <t>Föryngringsavverkning</t>
        </is>
      </c>
      <c r="D259" s="1" t="n">
        <v>44601</v>
      </c>
      <c r="E259" s="1" t="n">
        <v>46307</v>
      </c>
      <c r="F259" t="inlineStr">
        <is>
          <t>KRONOBERGS LÄN</t>
        </is>
      </c>
      <c r="G259" t="inlineStr">
        <is>
          <t>MARKARYD</t>
        </is>
      </c>
      <c r="H259" t="inlineStr">
        <is>
          <t>Kommuner</t>
        </is>
      </c>
      <c r="I259" t="n">
        <v>2.4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7395-2022</t>
        </is>
      </c>
      <c r="B260" t="inlineStr">
        <is>
          <t>avverkningsanmälan</t>
        </is>
      </c>
      <c r="C260" t="inlineStr">
        <is>
          <t>Föryngringsavverkning</t>
        </is>
      </c>
      <c r="D260" s="1" t="n">
        <v>44606</v>
      </c>
      <c r="E260" s="1" t="n">
        <v>46307</v>
      </c>
      <c r="F260" t="inlineStr">
        <is>
          <t>KRONOBERGS LÄN</t>
        </is>
      </c>
      <c r="G260" t="inlineStr">
        <is>
          <t>MARKARYD</t>
        </is>
      </c>
      <c r="I260" t="n">
        <v>1.1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A 2833-2022</t>
        </is>
      </c>
      <c r="B261" t="inlineStr">
        <is>
          <t>avverkningsanmälan</t>
        </is>
      </c>
      <c r="C261" t="inlineStr">
        <is>
          <t>Föryngringsavverkning</t>
        </is>
      </c>
      <c r="D261" s="1" t="n">
        <v>44581</v>
      </c>
      <c r="E261" s="1" t="n">
        <v>46307</v>
      </c>
      <c r="F261" t="inlineStr">
        <is>
          <t>KRONOBERGS LÄN</t>
        </is>
      </c>
      <c r="G261" t="inlineStr">
        <is>
          <t>MARKARYD</t>
        </is>
      </c>
      <c r="I261" t="n">
        <v>2.4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A 69361-2021</t>
        </is>
      </c>
      <c r="B262" t="inlineStr">
        <is>
          <t>avverkningsanmälan</t>
        </is>
      </c>
      <c r="C262" t="inlineStr">
        <is>
          <t>Föryngringsavverkning</t>
        </is>
      </c>
      <c r="D262" s="1" t="n">
        <v>44531</v>
      </c>
      <c r="E262" s="1" t="n">
        <v>46307</v>
      </c>
      <c r="F262" t="inlineStr">
        <is>
          <t>KRONOBERGS LÄN</t>
        </is>
      </c>
      <c r="G262" t="inlineStr">
        <is>
          <t>MARKARYD</t>
        </is>
      </c>
      <c r="I262" t="n">
        <v>2.1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A 37557-2022</t>
        </is>
      </c>
      <c r="B263" t="inlineStr">
        <is>
          <t>avverkningsanmälan</t>
        </is>
      </c>
      <c r="C263" t="inlineStr">
        <is>
          <t>Föryngringsavverkning</t>
        </is>
      </c>
      <c r="D263" s="1" t="n">
        <v>44809</v>
      </c>
      <c r="E263" s="1" t="n">
        <v>46307</v>
      </c>
      <c r="F263" t="inlineStr">
        <is>
          <t>KRONOBERGS LÄN</t>
        </is>
      </c>
      <c r="G263" t="inlineStr">
        <is>
          <t>MARKARYD</t>
        </is>
      </c>
      <c r="I263" t="n">
        <v>1.5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A 42850-2024</t>
        </is>
      </c>
      <c r="B264" t="inlineStr">
        <is>
          <t>avverkningsanmälan</t>
        </is>
      </c>
      <c r="C264" t="inlineStr">
        <is>
          <t>Föryngringsavverkning</t>
        </is>
      </c>
      <c r="D264" s="1" t="n">
        <v>45566</v>
      </c>
      <c r="E264" s="1" t="n">
        <v>46307</v>
      </c>
      <c r="F264" t="inlineStr">
        <is>
          <t>KRONOBERGS LÄN</t>
        </is>
      </c>
      <c r="G264" t="inlineStr">
        <is>
          <t>MARKARYD</t>
        </is>
      </c>
      <c r="I264" t="n">
        <v>2.1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A 11172-2023</t>
        </is>
      </c>
      <c r="B265" t="inlineStr">
        <is>
          <t>avverkningsanmälan</t>
        </is>
      </c>
      <c r="C265" t="inlineStr">
        <is>
          <t>Föryngringsavverkning</t>
        </is>
      </c>
      <c r="D265" s="1" t="n">
        <v>44992</v>
      </c>
      <c r="E265" s="1" t="n">
        <v>46307</v>
      </c>
      <c r="F265" t="inlineStr">
        <is>
          <t>KRONOBERGS LÄN</t>
        </is>
      </c>
      <c r="G265" t="inlineStr">
        <is>
          <t>MARKARYD</t>
        </is>
      </c>
      <c r="I265" t="n">
        <v>1.6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A 19443-2026</t>
        </is>
      </c>
      <c r="B266" t="inlineStr">
        <is>
          <t>avverkningsanmälan</t>
        </is>
      </c>
      <c r="C266" t="inlineStr">
        <is>
          <t>Föryngringsavverkning</t>
        </is>
      </c>
      <c r="D266" s="1" t="n">
        <v>46133</v>
      </c>
      <c r="E266" s="1" t="n">
        <v>46307</v>
      </c>
      <c r="F266" t="inlineStr">
        <is>
          <t>KRONOBERGS LÄN</t>
        </is>
      </c>
      <c r="G266" t="inlineStr">
        <is>
          <t>MARKARYD</t>
        </is>
      </c>
      <c r="I266" t="n">
        <v>3.3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A 31952-2023</t>
        </is>
      </c>
      <c r="B267" t="inlineStr">
        <is>
          <t>avverkningsanmälan</t>
        </is>
      </c>
      <c r="C267" t="inlineStr">
        <is>
          <t>Föryngringsavverkning</t>
        </is>
      </c>
      <c r="D267" s="1" t="n">
        <v>45119</v>
      </c>
      <c r="E267" s="1" t="n">
        <v>46307</v>
      </c>
      <c r="F267" t="inlineStr">
        <is>
          <t>KRONOBERGS LÄN</t>
        </is>
      </c>
      <c r="G267" t="inlineStr">
        <is>
          <t>MARKARYD</t>
        </is>
      </c>
      <c r="I267" t="n">
        <v>1.7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A 64507-2023</t>
        </is>
      </c>
      <c r="B268" t="inlineStr">
        <is>
          <t>avverkningsanmälan</t>
        </is>
      </c>
      <c r="C268" t="inlineStr">
        <is>
          <t>Föryngringsavverkning</t>
        </is>
      </c>
      <c r="D268" s="1" t="n">
        <v>45281</v>
      </c>
      <c r="E268" s="1" t="n">
        <v>46307</v>
      </c>
      <c r="F268" t="inlineStr">
        <is>
          <t>KRONOBERGS LÄN</t>
        </is>
      </c>
      <c r="G268" t="inlineStr">
        <is>
          <t>MARKARYD</t>
        </is>
      </c>
      <c r="I268" t="n">
        <v>1.9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  <row r="269" ht="15" customHeight="1">
      <c r="A269" t="inlineStr">
        <is>
          <t>A 64508-2023</t>
        </is>
      </c>
      <c r="B269" t="inlineStr">
        <is>
          <t>avverkningsanmälan</t>
        </is>
      </c>
      <c r="C269" t="inlineStr">
        <is>
          <t>Föryngringsavverkning</t>
        </is>
      </c>
      <c r="D269" s="1" t="n">
        <v>45281</v>
      </c>
      <c r="E269" s="1" t="n">
        <v>46307</v>
      </c>
      <c r="F269" t="inlineStr">
        <is>
          <t>KRONOBERGS LÄN</t>
        </is>
      </c>
      <c r="G269" t="inlineStr">
        <is>
          <t>MARKARYD</t>
        </is>
      </c>
      <c r="I269" t="n">
        <v>0.7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  <row r="270" ht="15" customHeight="1">
      <c r="A270" t="inlineStr">
        <is>
          <t>A 13148-2022</t>
        </is>
      </c>
      <c r="B270" t="inlineStr">
        <is>
          <t>avverkningsanmälan</t>
        </is>
      </c>
      <c r="C270" t="inlineStr">
        <is>
          <t>Föryngringsavverkning</t>
        </is>
      </c>
      <c r="D270" s="1" t="n">
        <v>44644</v>
      </c>
      <c r="E270" s="1" t="n">
        <v>46307</v>
      </c>
      <c r="F270" t="inlineStr">
        <is>
          <t>KRONOBERGS LÄN</t>
        </is>
      </c>
      <c r="G270" t="inlineStr">
        <is>
          <t>MARKARYD</t>
        </is>
      </c>
      <c r="I270" t="n">
        <v>0.8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inlineStr"/>
    </row>
    <row r="271" ht="15" customHeight="1">
      <c r="A271" t="inlineStr">
        <is>
          <t>A 54926-2023</t>
        </is>
      </c>
      <c r="B271" t="inlineStr">
        <is>
          <t>avverkningsanmälan</t>
        </is>
      </c>
      <c r="C271" t="inlineStr">
        <is>
          <t>Föryngringsavverkning</t>
        </is>
      </c>
      <c r="D271" s="1" t="n">
        <v>45236</v>
      </c>
      <c r="E271" s="1" t="n">
        <v>46307</v>
      </c>
      <c r="F271" t="inlineStr">
        <is>
          <t>KRONOBERGS LÄN</t>
        </is>
      </c>
      <c r="G271" t="inlineStr">
        <is>
          <t>MARKARYD</t>
        </is>
      </c>
      <c r="I271" t="n">
        <v>1.2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inlineStr"/>
    </row>
    <row r="272" ht="15" customHeight="1">
      <c r="A272" t="inlineStr">
        <is>
          <t>A 25096-2024</t>
        </is>
      </c>
      <c r="B272" t="inlineStr">
        <is>
          <t>avverkningsanmälan</t>
        </is>
      </c>
      <c r="C272" t="inlineStr">
        <is>
          <t>Föryngringsavverkning</t>
        </is>
      </c>
      <c r="D272" s="1" t="n">
        <v>45462</v>
      </c>
      <c r="E272" s="1" t="n">
        <v>46307</v>
      </c>
      <c r="F272" t="inlineStr">
        <is>
          <t>KRONOBERGS LÄN</t>
        </is>
      </c>
      <c r="G272" t="inlineStr">
        <is>
          <t>MARKARYD</t>
        </is>
      </c>
      <c r="I272" t="n">
        <v>4.9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inlineStr"/>
    </row>
    <row r="273" ht="15" customHeight="1">
      <c r="A273" t="inlineStr">
        <is>
          <t>A 55332-2022</t>
        </is>
      </c>
      <c r="B273" t="inlineStr">
        <is>
          <t>avverkningsanmälan</t>
        </is>
      </c>
      <c r="C273" t="inlineStr">
        <is>
          <t>Föryngringsavverkning</t>
        </is>
      </c>
      <c r="D273" s="1" t="n">
        <v>44887</v>
      </c>
      <c r="E273" s="1" t="n">
        <v>46307</v>
      </c>
      <c r="F273" t="inlineStr">
        <is>
          <t>KRONOBERGS LÄN</t>
        </is>
      </c>
      <c r="G273" t="inlineStr">
        <is>
          <t>MARKARYD</t>
        </is>
      </c>
      <c r="I273" t="n">
        <v>1.4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inlineStr"/>
    </row>
    <row r="274" ht="15" customHeight="1">
      <c r="A274" t="inlineStr">
        <is>
          <t>A 2139-2022</t>
        </is>
      </c>
      <c r="B274" t="inlineStr">
        <is>
          <t>avverkningsanmälan</t>
        </is>
      </c>
      <c r="C274" t="inlineStr">
        <is>
          <t>Föryngringsavverkning</t>
        </is>
      </c>
      <c r="D274" s="1" t="n">
        <v>44578</v>
      </c>
      <c r="E274" s="1" t="n">
        <v>46307</v>
      </c>
      <c r="F274" t="inlineStr">
        <is>
          <t>KRONOBERGS LÄN</t>
        </is>
      </c>
      <c r="G274" t="inlineStr">
        <is>
          <t>MARKARYD</t>
        </is>
      </c>
      <c r="H274" t="inlineStr">
        <is>
          <t>Övriga Aktiebolag</t>
        </is>
      </c>
      <c r="I274" t="n">
        <v>2.8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inlineStr"/>
    </row>
    <row r="275" ht="15" customHeight="1">
      <c r="A275" t="inlineStr">
        <is>
          <t>A 63468-2025</t>
        </is>
      </c>
      <c r="B275" t="inlineStr">
        <is>
          <t>avverkningsanmälan</t>
        </is>
      </c>
      <c r="C275" t="inlineStr">
        <is>
          <t>Föryngringsavverkning</t>
        </is>
      </c>
      <c r="D275" s="1" t="n">
        <v>46013</v>
      </c>
      <c r="E275" s="1" t="n">
        <v>46307</v>
      </c>
      <c r="F275" t="inlineStr">
        <is>
          <t>KRONOBERGS LÄN</t>
        </is>
      </c>
      <c r="G275" t="inlineStr">
        <is>
          <t>MARKARYD</t>
        </is>
      </c>
      <c r="I275" t="n">
        <v>1.4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inlineStr"/>
    </row>
    <row r="276" ht="15" customHeight="1">
      <c r="A276" t="inlineStr">
        <is>
          <t>A 32384-2025</t>
        </is>
      </c>
      <c r="B276" t="inlineStr">
        <is>
          <t>avverkningsanmälan</t>
        </is>
      </c>
      <c r="C276" t="inlineStr">
        <is>
          <t>Föryngringsavverkning</t>
        </is>
      </c>
      <c r="D276" s="1" t="n">
        <v>45837</v>
      </c>
      <c r="E276" s="1" t="n">
        <v>46307</v>
      </c>
      <c r="F276" t="inlineStr">
        <is>
          <t>KRONOBERGS LÄN</t>
        </is>
      </c>
      <c r="G276" t="inlineStr">
        <is>
          <t>MARKARYD</t>
        </is>
      </c>
      <c r="I276" t="n">
        <v>3.8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inlineStr"/>
    </row>
    <row r="277" ht="15" customHeight="1">
      <c r="A277" t="inlineStr">
        <is>
          <t>A 50781-2024</t>
        </is>
      </c>
      <c r="B277" t="inlineStr">
        <is>
          <t>avverkningsanmälan</t>
        </is>
      </c>
      <c r="C277" t="inlineStr">
        <is>
          <t>Föryngringsavverkning</t>
        </is>
      </c>
      <c r="D277" s="1" t="n">
        <v>45602</v>
      </c>
      <c r="E277" s="1" t="n">
        <v>46307</v>
      </c>
      <c r="F277" t="inlineStr">
        <is>
          <t>KRONOBERGS LÄN</t>
        </is>
      </c>
      <c r="G277" t="inlineStr">
        <is>
          <t>MARKARYD</t>
        </is>
      </c>
      <c r="I277" t="n">
        <v>1.7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inlineStr"/>
    </row>
    <row r="278" ht="15" customHeight="1">
      <c r="A278" t="inlineStr">
        <is>
          <t>A 63466-2025</t>
        </is>
      </c>
      <c r="B278" t="inlineStr">
        <is>
          <t>avverkningsanmälan</t>
        </is>
      </c>
      <c r="C278" t="inlineStr">
        <is>
          <t>Föryngringsavverkning</t>
        </is>
      </c>
      <c r="D278" s="1" t="n">
        <v>46013</v>
      </c>
      <c r="E278" s="1" t="n">
        <v>46307</v>
      </c>
      <c r="F278" t="inlineStr">
        <is>
          <t>KRONOBERGS LÄN</t>
        </is>
      </c>
      <c r="G278" t="inlineStr">
        <is>
          <t>MARKARYD</t>
        </is>
      </c>
      <c r="I278" t="n">
        <v>1.6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inlineStr"/>
    </row>
    <row r="279" ht="15" customHeight="1">
      <c r="A279" t="inlineStr">
        <is>
          <t>A 63462-2025</t>
        </is>
      </c>
      <c r="B279" t="inlineStr">
        <is>
          <t>avverkningsanmälan</t>
        </is>
      </c>
      <c r="C279" t="inlineStr">
        <is>
          <t>Föryngringsavverkning</t>
        </is>
      </c>
      <c r="D279" s="1" t="n">
        <v>46013</v>
      </c>
      <c r="E279" s="1" t="n">
        <v>46307</v>
      </c>
      <c r="F279" t="inlineStr">
        <is>
          <t>KRONOBERGS LÄN</t>
        </is>
      </c>
      <c r="G279" t="inlineStr">
        <is>
          <t>MARKARYD</t>
        </is>
      </c>
      <c r="I279" t="n">
        <v>5.3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inlineStr"/>
    </row>
    <row r="280" ht="15" customHeight="1">
      <c r="A280" t="inlineStr">
        <is>
          <t>A 19399-2024</t>
        </is>
      </c>
      <c r="B280" t="inlineStr">
        <is>
          <t>avverkningsanmälan</t>
        </is>
      </c>
      <c r="C280" t="inlineStr">
        <is>
          <t>Föryngringsavverkning</t>
        </is>
      </c>
      <c r="D280" s="1" t="n">
        <v>45428</v>
      </c>
      <c r="E280" s="1" t="n">
        <v>46307</v>
      </c>
      <c r="F280" t="inlineStr">
        <is>
          <t>KRONOBERGS LÄN</t>
        </is>
      </c>
      <c r="G280" t="inlineStr">
        <is>
          <t>MARKARYD</t>
        </is>
      </c>
      <c r="H280" t="inlineStr">
        <is>
          <t>Kyrkan</t>
        </is>
      </c>
      <c r="I280" t="n">
        <v>3.7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inlineStr"/>
    </row>
    <row r="281" ht="15" customHeight="1">
      <c r="A281" t="inlineStr">
        <is>
          <t>A 63971-2025</t>
        </is>
      </c>
      <c r="B281" t="inlineStr">
        <is>
          <t>avverkningsanmälan</t>
        </is>
      </c>
      <c r="C281" t="inlineStr">
        <is>
          <t>Föryngringsavverkning</t>
        </is>
      </c>
      <c r="D281" s="1" t="n">
        <v>46021</v>
      </c>
      <c r="E281" s="1" t="n">
        <v>46307</v>
      </c>
      <c r="F281" t="inlineStr">
        <is>
          <t>KRONOBERGS LÄN</t>
        </is>
      </c>
      <c r="G281" t="inlineStr">
        <is>
          <t>MARKARYD</t>
        </is>
      </c>
      <c r="I281" t="n">
        <v>8.300000000000001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s="2" t="inlineStr"/>
    </row>
    <row r="282" ht="15" customHeight="1">
      <c r="A282" t="inlineStr">
        <is>
          <t>A 9276-2022</t>
        </is>
      </c>
      <c r="B282" t="inlineStr">
        <is>
          <t>avverkningsanmälan</t>
        </is>
      </c>
      <c r="C282" t="inlineStr">
        <is>
          <t>Föryngringsavverkning</t>
        </is>
      </c>
      <c r="D282" s="1" t="n">
        <v>44616</v>
      </c>
      <c r="E282" s="1" t="n">
        <v>46307</v>
      </c>
      <c r="F282" t="inlineStr">
        <is>
          <t>KRONOBERGS LÄN</t>
        </is>
      </c>
      <c r="G282" t="inlineStr">
        <is>
          <t>MARKARYD</t>
        </is>
      </c>
      <c r="I282" t="n">
        <v>3.4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s="2" t="inlineStr"/>
    </row>
    <row r="283" ht="15" customHeight="1">
      <c r="A283" t="inlineStr">
        <is>
          <t>A 58694-2022</t>
        </is>
      </c>
      <c r="B283" t="inlineStr">
        <is>
          <t>avverkningsanmälan</t>
        </is>
      </c>
      <c r="C283" t="inlineStr">
        <is>
          <t>Föryngringsavverkning</t>
        </is>
      </c>
      <c r="D283" s="1" t="n">
        <v>44902</v>
      </c>
      <c r="E283" s="1" t="n">
        <v>46307</v>
      </c>
      <c r="F283" t="inlineStr">
        <is>
          <t>KRONOBERGS LÄN</t>
        </is>
      </c>
      <c r="G283" t="inlineStr">
        <is>
          <t>MARKARYD</t>
        </is>
      </c>
      <c r="I283" t="n">
        <v>2.6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s="2" t="inlineStr"/>
    </row>
    <row r="284" ht="15" customHeight="1">
      <c r="A284" t="inlineStr">
        <is>
          <t>A 30340-2022</t>
        </is>
      </c>
      <c r="B284" t="inlineStr">
        <is>
          <t>avverkningsanmälan</t>
        </is>
      </c>
      <c r="C284" t="inlineStr">
        <is>
          <t>Föryngringsavverkning</t>
        </is>
      </c>
      <c r="D284" s="1" t="n">
        <v>44760</v>
      </c>
      <c r="E284" s="1" t="n">
        <v>46307</v>
      </c>
      <c r="F284" t="inlineStr">
        <is>
          <t>KRONOBERGS LÄN</t>
        </is>
      </c>
      <c r="G284" t="inlineStr">
        <is>
          <t>MARKARYD</t>
        </is>
      </c>
      <c r="I284" t="n">
        <v>0.8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s="2" t="inlineStr"/>
    </row>
    <row r="285" ht="15" customHeight="1">
      <c r="A285" t="inlineStr">
        <is>
          <t>A 24577-2025</t>
        </is>
      </c>
      <c r="B285" t="inlineStr">
        <is>
          <t>avverkningsanmälan</t>
        </is>
      </c>
      <c r="C285" t="inlineStr">
        <is>
          <t>Föryngringsavverkning</t>
        </is>
      </c>
      <c r="D285" s="1" t="n">
        <v>45798</v>
      </c>
      <c r="E285" s="1" t="n">
        <v>46307</v>
      </c>
      <c r="F285" t="inlineStr">
        <is>
          <t>KRONOBERGS LÄN</t>
        </is>
      </c>
      <c r="G285" t="inlineStr">
        <is>
          <t>MARKARYD</t>
        </is>
      </c>
      <c r="I285" t="n">
        <v>2.6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s="2" t="inlineStr"/>
    </row>
    <row r="286" ht="15" customHeight="1">
      <c r="A286" t="inlineStr">
        <is>
          <t>A 60531-2022</t>
        </is>
      </c>
      <c r="B286" t="inlineStr">
        <is>
          <t>avverkningsanmälan</t>
        </is>
      </c>
      <c r="C286" t="inlineStr">
        <is>
          <t>Föryngringsavverkning</t>
        </is>
      </c>
      <c r="D286" s="1" t="n">
        <v>44911</v>
      </c>
      <c r="E286" s="1" t="n">
        <v>46307</v>
      </c>
      <c r="F286" t="inlineStr">
        <is>
          <t>KRONOBERGS LÄN</t>
        </is>
      </c>
      <c r="G286" t="inlineStr">
        <is>
          <t>MARKARYD</t>
        </is>
      </c>
      <c r="I286" t="n">
        <v>0.8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inlineStr"/>
    </row>
    <row r="287" ht="15" customHeight="1">
      <c r="A287" t="inlineStr">
        <is>
          <t>A 6556-2022</t>
        </is>
      </c>
      <c r="B287" t="inlineStr">
        <is>
          <t>avverkningsanmälan</t>
        </is>
      </c>
      <c r="C287" t="inlineStr">
        <is>
          <t>Föryngringsavverkning</t>
        </is>
      </c>
      <c r="D287" s="1" t="n">
        <v>44601</v>
      </c>
      <c r="E287" s="1" t="n">
        <v>46307</v>
      </c>
      <c r="F287" t="inlineStr">
        <is>
          <t>KRONOBERGS LÄN</t>
        </is>
      </c>
      <c r="G287" t="inlineStr">
        <is>
          <t>MARKARYD</t>
        </is>
      </c>
      <c r="H287" t="inlineStr">
        <is>
          <t>Kommuner</t>
        </is>
      </c>
      <c r="I287" t="n">
        <v>2.8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inlineStr"/>
    </row>
    <row r="288" ht="15" customHeight="1">
      <c r="A288" t="inlineStr">
        <is>
          <t>A 6561-2022</t>
        </is>
      </c>
      <c r="B288" t="inlineStr">
        <is>
          <t>avverkningsanmälan</t>
        </is>
      </c>
      <c r="C288" t="inlineStr">
        <is>
          <t>Föryngringsavverkning</t>
        </is>
      </c>
      <c r="D288" s="1" t="n">
        <v>44601</v>
      </c>
      <c r="E288" s="1" t="n">
        <v>46307</v>
      </c>
      <c r="F288" t="inlineStr">
        <is>
          <t>KRONOBERGS LÄN</t>
        </is>
      </c>
      <c r="G288" t="inlineStr">
        <is>
          <t>MARKARYD</t>
        </is>
      </c>
      <c r="H288" t="inlineStr">
        <is>
          <t>Kommuner</t>
        </is>
      </c>
      <c r="I288" t="n">
        <v>1.8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inlineStr"/>
    </row>
    <row r="289" ht="15" customHeight="1">
      <c r="A289" t="inlineStr">
        <is>
          <t>A 1682-2026</t>
        </is>
      </c>
      <c r="B289" t="inlineStr">
        <is>
          <t>avverkningsanmälan</t>
        </is>
      </c>
      <c r="C289" t="inlineStr">
        <is>
          <t>Avverkning för annat ändamål</t>
        </is>
      </c>
      <c r="D289" s="1" t="n">
        <v>46034</v>
      </c>
      <c r="E289" s="1" t="n">
        <v>46307</v>
      </c>
      <c r="F289" t="inlineStr">
        <is>
          <t>KRONOBERGS LÄN</t>
        </is>
      </c>
      <c r="G289" t="inlineStr">
        <is>
          <t>MARKARYD</t>
        </is>
      </c>
      <c r="I289" t="n">
        <v>0.7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inlineStr"/>
    </row>
    <row r="290" ht="15" customHeight="1">
      <c r="A290" t="inlineStr">
        <is>
          <t>A 1142-2025</t>
        </is>
      </c>
      <c r="B290" t="inlineStr">
        <is>
          <t>avverkningsanmälan</t>
        </is>
      </c>
      <c r="C290" t="inlineStr">
        <is>
          <t>Föryngringsavverkning</t>
        </is>
      </c>
      <c r="D290" s="1" t="n">
        <v>45666</v>
      </c>
      <c r="E290" s="1" t="n">
        <v>46307</v>
      </c>
      <c r="F290" t="inlineStr">
        <is>
          <t>KRONOBERGS LÄN</t>
        </is>
      </c>
      <c r="G290" t="inlineStr">
        <is>
          <t>MARKARYD</t>
        </is>
      </c>
      <c r="I290" t="n">
        <v>6.1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s="2" t="inlineStr"/>
    </row>
    <row r="291" ht="15" customHeight="1">
      <c r="A291" t="inlineStr">
        <is>
          <t>A 20571-2022</t>
        </is>
      </c>
      <c r="B291" t="inlineStr">
        <is>
          <t>avverkningsanmälan</t>
        </is>
      </c>
      <c r="C291" t="inlineStr">
        <is>
          <t>Föryngringsavverkning</t>
        </is>
      </c>
      <c r="D291" s="1" t="n">
        <v>44700</v>
      </c>
      <c r="E291" s="1" t="n">
        <v>46307</v>
      </c>
      <c r="F291" t="inlineStr">
        <is>
          <t>KRONOBERGS LÄN</t>
        </is>
      </c>
      <c r="G291" t="inlineStr">
        <is>
          <t>MARKARYD</t>
        </is>
      </c>
      <c r="I291" t="n">
        <v>1.6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s="2" t="inlineStr"/>
    </row>
    <row r="292" ht="15" customHeight="1">
      <c r="A292" t="inlineStr">
        <is>
          <t>A 3142-2025</t>
        </is>
      </c>
      <c r="B292" t="inlineStr">
        <is>
          <t>avverkningsanmälan</t>
        </is>
      </c>
      <c r="C292" t="inlineStr">
        <is>
          <t>Föryngringsavverkning</t>
        </is>
      </c>
      <c r="D292" s="1" t="n">
        <v>45678</v>
      </c>
      <c r="E292" s="1" t="n">
        <v>46307</v>
      </c>
      <c r="F292" t="inlineStr">
        <is>
          <t>KRONOBERGS LÄN</t>
        </is>
      </c>
      <c r="G292" t="inlineStr">
        <is>
          <t>MARKARYD</t>
        </is>
      </c>
      <c r="I292" t="n">
        <v>2.2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s="2" t="inlineStr"/>
    </row>
    <row r="293" ht="15" customHeight="1">
      <c r="A293" t="inlineStr">
        <is>
          <t>A 50942-2023</t>
        </is>
      </c>
      <c r="B293" t="inlineStr">
        <is>
          <t>avverkningsanmälan</t>
        </is>
      </c>
      <c r="C293" t="inlineStr">
        <is>
          <t>Föryngringsavverkning</t>
        </is>
      </c>
      <c r="D293" s="1" t="n">
        <v>45218</v>
      </c>
      <c r="E293" s="1" t="n">
        <v>46307</v>
      </c>
      <c r="F293" t="inlineStr">
        <is>
          <t>KRONOBERGS LÄN</t>
        </is>
      </c>
      <c r="G293" t="inlineStr">
        <is>
          <t>MARKARYD</t>
        </is>
      </c>
      <c r="I293" t="n">
        <v>2.2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s="2" t="inlineStr"/>
    </row>
    <row r="294" ht="15" customHeight="1">
      <c r="A294" t="inlineStr">
        <is>
          <t>A 26795-2024</t>
        </is>
      </c>
      <c r="B294" t="inlineStr">
        <is>
          <t>avverkningsanmälan</t>
        </is>
      </c>
      <c r="C294" t="inlineStr">
        <is>
          <t>Föryngringsavverkning</t>
        </is>
      </c>
      <c r="D294" s="1" t="n">
        <v>45470</v>
      </c>
      <c r="E294" s="1" t="n">
        <v>46307</v>
      </c>
      <c r="F294" t="inlineStr">
        <is>
          <t>KRONOBERGS LÄN</t>
        </is>
      </c>
      <c r="G294" t="inlineStr">
        <is>
          <t>MARKARYD</t>
        </is>
      </c>
      <c r="I294" t="n">
        <v>0.5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s="2" t="inlineStr"/>
    </row>
    <row r="295" ht="15" customHeight="1">
      <c r="A295" t="inlineStr">
        <is>
          <t>A 3597-2026</t>
        </is>
      </c>
      <c r="B295" t="inlineStr">
        <is>
          <t>avverkningsanmälan</t>
        </is>
      </c>
      <c r="C295" t="inlineStr">
        <is>
          <t>Föryngringsavverkning</t>
        </is>
      </c>
      <c r="D295" s="1" t="n">
        <v>46042</v>
      </c>
      <c r="E295" s="1" t="n">
        <v>46307</v>
      </c>
      <c r="F295" t="inlineStr">
        <is>
          <t>KRONOBERGS LÄN</t>
        </is>
      </c>
      <c r="G295" t="inlineStr">
        <is>
          <t>MARKARYD</t>
        </is>
      </c>
      <c r="I295" t="n">
        <v>1.6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s="2" t="inlineStr"/>
    </row>
    <row r="296" ht="15" customHeight="1">
      <c r="A296" t="inlineStr">
        <is>
          <t>A 52636-2023</t>
        </is>
      </c>
      <c r="B296" t="inlineStr">
        <is>
          <t>avverkningsanmälan</t>
        </is>
      </c>
      <c r="C296" t="inlineStr">
        <is>
          <t>Föryngringsavverkning</t>
        </is>
      </c>
      <c r="D296" s="1" t="n">
        <v>45225</v>
      </c>
      <c r="E296" s="1" t="n">
        <v>46307</v>
      </c>
      <c r="F296" t="inlineStr">
        <is>
          <t>KRONOBERGS LÄN</t>
        </is>
      </c>
      <c r="G296" t="inlineStr">
        <is>
          <t>MARKARYD</t>
        </is>
      </c>
      <c r="I296" t="n">
        <v>1.4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s="2" t="inlineStr"/>
    </row>
    <row r="297" ht="15" customHeight="1">
      <c r="A297" t="inlineStr">
        <is>
          <t>A 42381-2024</t>
        </is>
      </c>
      <c r="B297" t="inlineStr">
        <is>
          <t>avverkningsanmälan</t>
        </is>
      </c>
      <c r="C297" t="inlineStr">
        <is>
          <t>Föryngringsavverkning</t>
        </is>
      </c>
      <c r="D297" s="1" t="n">
        <v>45564</v>
      </c>
      <c r="E297" s="1" t="n">
        <v>46307</v>
      </c>
      <c r="F297" t="inlineStr">
        <is>
          <t>KRONOBERGS LÄN</t>
        </is>
      </c>
      <c r="G297" t="inlineStr">
        <is>
          <t>MARKARYD</t>
        </is>
      </c>
      <c r="I297" t="n">
        <v>3.1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s="2" t="inlineStr"/>
    </row>
    <row r="298" ht="15" customHeight="1">
      <c r="A298" t="inlineStr">
        <is>
          <t>A 45716-2025</t>
        </is>
      </c>
      <c r="B298" t="inlineStr">
        <is>
          <t>avverkningsanmälan</t>
        </is>
      </c>
      <c r="C298" t="inlineStr">
        <is>
          <t>Föryngringsavverkning</t>
        </is>
      </c>
      <c r="D298" s="1" t="n">
        <v>45923</v>
      </c>
      <c r="E298" s="1" t="n">
        <v>46307</v>
      </c>
      <c r="F298" t="inlineStr">
        <is>
          <t>KRONOBERGS LÄN</t>
        </is>
      </c>
      <c r="G298" t="inlineStr">
        <is>
          <t>MARKARYD</t>
        </is>
      </c>
      <c r="I298" t="n">
        <v>1.3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s="2" t="inlineStr"/>
    </row>
    <row r="299" ht="15" customHeight="1">
      <c r="A299" t="inlineStr">
        <is>
          <t>A 93-2023</t>
        </is>
      </c>
      <c r="B299" t="inlineStr">
        <is>
          <t>avverkningsanmälan</t>
        </is>
      </c>
      <c r="C299" t="inlineStr">
        <is>
          <t>Föryngringsavverkning</t>
        </is>
      </c>
      <c r="D299" s="1" t="n">
        <v>44928</v>
      </c>
      <c r="E299" s="1" t="n">
        <v>46307</v>
      </c>
      <c r="F299" t="inlineStr">
        <is>
          <t>KRONOBERGS LÄN</t>
        </is>
      </c>
      <c r="G299" t="inlineStr">
        <is>
          <t>MARKARYD</t>
        </is>
      </c>
      <c r="I299" t="n">
        <v>7.4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s="2" t="inlineStr"/>
    </row>
    <row r="300" ht="15" customHeight="1">
      <c r="A300" t="inlineStr">
        <is>
          <t>A 4474-2023</t>
        </is>
      </c>
      <c r="B300" t="inlineStr">
        <is>
          <t>avverkningsanmälan</t>
        </is>
      </c>
      <c r="C300" t="inlineStr">
        <is>
          <t>Föryngringsavverkning</t>
        </is>
      </c>
      <c r="D300" s="1" t="n">
        <v>44956</v>
      </c>
      <c r="E300" s="1" t="n">
        <v>46307</v>
      </c>
      <c r="F300" t="inlineStr">
        <is>
          <t>KRONOBERGS LÄN</t>
        </is>
      </c>
      <c r="G300" t="inlineStr">
        <is>
          <t>MARKARYD</t>
        </is>
      </c>
      <c r="I300" t="n">
        <v>2.7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s="2" t="inlineStr"/>
    </row>
    <row r="301" ht="15" customHeight="1">
      <c r="A301" t="inlineStr">
        <is>
          <t>A 11470-2024</t>
        </is>
      </c>
      <c r="B301" t="inlineStr">
        <is>
          <t>avverkningsanmälan</t>
        </is>
      </c>
      <c r="C301" t="inlineStr">
        <is>
          <t>Föryngringsavverkning</t>
        </is>
      </c>
      <c r="D301" s="1" t="n">
        <v>45372</v>
      </c>
      <c r="E301" s="1" t="n">
        <v>46307</v>
      </c>
      <c r="F301" t="inlineStr">
        <is>
          <t>KRONOBERGS LÄN</t>
        </is>
      </c>
      <c r="G301" t="inlineStr">
        <is>
          <t>MARKARYD</t>
        </is>
      </c>
      <c r="I301" t="n">
        <v>0.7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s="2" t="inlineStr"/>
    </row>
    <row r="302" ht="15" customHeight="1">
      <c r="A302" t="inlineStr">
        <is>
          <t>A 64854-2023</t>
        </is>
      </c>
      <c r="B302" t="inlineStr">
        <is>
          <t>avverkningsanmälan</t>
        </is>
      </c>
      <c r="C302" t="inlineStr">
        <is>
          <t>Föryngringsavverkning</t>
        </is>
      </c>
      <c r="D302" s="1" t="n">
        <v>45282</v>
      </c>
      <c r="E302" s="1" t="n">
        <v>46307</v>
      </c>
      <c r="F302" t="inlineStr">
        <is>
          <t>KRONOBERGS LÄN</t>
        </is>
      </c>
      <c r="G302" t="inlineStr">
        <is>
          <t>MARKARYD</t>
        </is>
      </c>
      <c r="I302" t="n">
        <v>0.7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s="2" t="inlineStr"/>
    </row>
    <row r="303" ht="15" customHeight="1">
      <c r="A303" t="inlineStr">
        <is>
          <t>A 35797-2024</t>
        </is>
      </c>
      <c r="B303" t="inlineStr">
        <is>
          <t>avverkningsanmälan</t>
        </is>
      </c>
      <c r="C303" t="inlineStr">
        <is>
          <t>Föryngringsavverkning</t>
        </is>
      </c>
      <c r="D303" s="1" t="n">
        <v>45532</v>
      </c>
      <c r="E303" s="1" t="n">
        <v>46307</v>
      </c>
      <c r="F303" t="inlineStr">
        <is>
          <t>KRONOBERGS LÄN</t>
        </is>
      </c>
      <c r="G303" t="inlineStr">
        <is>
          <t>MARKARYD</t>
        </is>
      </c>
      <c r="I303" t="n">
        <v>4.9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s="2" t="inlineStr"/>
    </row>
    <row r="304" ht="15" customHeight="1">
      <c r="A304" t="inlineStr">
        <is>
          <t>A 7832-2026</t>
        </is>
      </c>
      <c r="B304" t="inlineStr">
        <is>
          <t>avverkningsanmälan</t>
        </is>
      </c>
      <c r="C304" t="inlineStr">
        <is>
          <t>Föryngringsavverkning</t>
        </is>
      </c>
      <c r="D304" s="1" t="n">
        <v>46062</v>
      </c>
      <c r="E304" s="1" t="n">
        <v>46307</v>
      </c>
      <c r="F304" t="inlineStr">
        <is>
          <t>KRONOBERGS LÄN</t>
        </is>
      </c>
      <c r="G304" t="inlineStr">
        <is>
          <t>MARKARYD</t>
        </is>
      </c>
      <c r="I304" t="n">
        <v>1.2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s="2" t="inlineStr"/>
    </row>
    <row r="305" ht="15" customHeight="1">
      <c r="A305" t="inlineStr">
        <is>
          <t>A 7887-2026</t>
        </is>
      </c>
      <c r="B305" t="inlineStr">
        <is>
          <t>avverkningsanmälan</t>
        </is>
      </c>
      <c r="C305" t="inlineStr">
        <is>
          <t>Föryngringsavverkning</t>
        </is>
      </c>
      <c r="D305" s="1" t="n">
        <v>46063</v>
      </c>
      <c r="E305" s="1" t="n">
        <v>46307</v>
      </c>
      <c r="F305" t="inlineStr">
        <is>
          <t>KRONOBERGS LÄN</t>
        </is>
      </c>
      <c r="G305" t="inlineStr">
        <is>
          <t>MARKARYD</t>
        </is>
      </c>
      <c r="I305" t="n">
        <v>16.3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s="2" t="inlineStr"/>
    </row>
    <row r="306" ht="15" customHeight="1">
      <c r="A306" t="inlineStr">
        <is>
          <t>A 9064-2026</t>
        </is>
      </c>
      <c r="B306" t="inlineStr">
        <is>
          <t>avverkningsanmälan</t>
        </is>
      </c>
      <c r="C306" t="inlineStr">
        <is>
          <t>Föryngringsavverkning</t>
        </is>
      </c>
      <c r="D306" s="1" t="n">
        <v>46069</v>
      </c>
      <c r="E306" s="1" t="n">
        <v>46307</v>
      </c>
      <c r="F306" t="inlineStr">
        <is>
          <t>KRONOBERGS LÄN</t>
        </is>
      </c>
      <c r="G306" t="inlineStr">
        <is>
          <t>MARKARYD</t>
        </is>
      </c>
      <c r="H306" t="inlineStr">
        <is>
          <t>Sveaskog</t>
        </is>
      </c>
      <c r="I306" t="n">
        <v>11.2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s="2" t="inlineStr"/>
    </row>
    <row r="307" ht="15" customHeight="1">
      <c r="A307" t="inlineStr">
        <is>
          <t>A 9061-2026</t>
        </is>
      </c>
      <c r="B307" t="inlineStr">
        <is>
          <t>avverkningsanmälan</t>
        </is>
      </c>
      <c r="C307" t="inlineStr">
        <is>
          <t>Föryngringsavverkning</t>
        </is>
      </c>
      <c r="D307" s="1" t="n">
        <v>46069</v>
      </c>
      <c r="E307" s="1" t="n">
        <v>46307</v>
      </c>
      <c r="F307" t="inlineStr">
        <is>
          <t>KRONOBERGS LÄN</t>
        </is>
      </c>
      <c r="G307" t="inlineStr">
        <is>
          <t>MARKARYD</t>
        </is>
      </c>
      <c r="H307" t="inlineStr">
        <is>
          <t>Sveaskog</t>
        </is>
      </c>
      <c r="I307" t="n">
        <v>3.9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s="2" t="inlineStr"/>
    </row>
    <row r="308" ht="15" customHeight="1">
      <c r="A308" t="inlineStr">
        <is>
          <t>A 9062-2026</t>
        </is>
      </c>
      <c r="B308" t="inlineStr">
        <is>
          <t>avverkningsanmälan</t>
        </is>
      </c>
      <c r="C308" t="inlineStr">
        <is>
          <t>Föryngringsavverkning</t>
        </is>
      </c>
      <c r="D308" s="1" t="n">
        <v>46069</v>
      </c>
      <c r="E308" s="1" t="n">
        <v>46307</v>
      </c>
      <c r="F308" t="inlineStr">
        <is>
          <t>KRONOBERGS LÄN</t>
        </is>
      </c>
      <c r="G308" t="inlineStr">
        <is>
          <t>MARKARYD</t>
        </is>
      </c>
      <c r="H308" t="inlineStr">
        <is>
          <t>Sveaskog</t>
        </is>
      </c>
      <c r="I308" t="n">
        <v>2.8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s="2" t="inlineStr"/>
    </row>
    <row r="309" ht="15" customHeight="1">
      <c r="A309" t="inlineStr">
        <is>
          <t>A 21670-2026</t>
        </is>
      </c>
      <c r="B309" t="inlineStr">
        <is>
          <t>avverkningsanmälan</t>
        </is>
      </c>
      <c r="C309" t="inlineStr">
        <is>
          <t>Föryngringsavverkning</t>
        </is>
      </c>
      <c r="D309" s="1" t="n">
        <v>46149</v>
      </c>
      <c r="E309" s="1" t="n">
        <v>46307</v>
      </c>
      <c r="F309" t="inlineStr">
        <is>
          <t>KRONOBERGS LÄN</t>
        </is>
      </c>
      <c r="G309" t="inlineStr">
        <is>
          <t>MARKARYD</t>
        </is>
      </c>
      <c r="I309" t="n">
        <v>9.800000000000001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s="2" t="inlineStr"/>
    </row>
    <row r="310" ht="15" customHeight="1">
      <c r="A310" t="inlineStr">
        <is>
          <t>A 9066-2026</t>
        </is>
      </c>
      <c r="B310" t="inlineStr">
        <is>
          <t>avverkningsanmälan</t>
        </is>
      </c>
      <c r="C310" t="inlineStr">
        <is>
          <t>Föryngringsavverkning</t>
        </is>
      </c>
      <c r="D310" s="1" t="n">
        <v>46069</v>
      </c>
      <c r="E310" s="1" t="n">
        <v>46307</v>
      </c>
      <c r="F310" t="inlineStr">
        <is>
          <t>KRONOBERGS LÄN</t>
        </is>
      </c>
      <c r="G310" t="inlineStr">
        <is>
          <t>MARKARYD</t>
        </is>
      </c>
      <c r="H310" t="inlineStr">
        <is>
          <t>Sveaskog</t>
        </is>
      </c>
      <c r="I310" t="n">
        <v>2.9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s="2" t="inlineStr"/>
    </row>
    <row r="311" ht="15" customHeight="1">
      <c r="A311" t="inlineStr">
        <is>
          <t>A 9060-2026</t>
        </is>
      </c>
      <c r="B311" t="inlineStr">
        <is>
          <t>avverkningsanmälan</t>
        </is>
      </c>
      <c r="C311" t="inlineStr">
        <is>
          <t>Föryngringsavverkning</t>
        </is>
      </c>
      <c r="D311" s="1" t="n">
        <v>46069</v>
      </c>
      <c r="E311" s="1" t="n">
        <v>46307</v>
      </c>
      <c r="F311" t="inlineStr">
        <is>
          <t>KRONOBERGS LÄN</t>
        </is>
      </c>
      <c r="G311" t="inlineStr">
        <is>
          <t>MARKARYD</t>
        </is>
      </c>
      <c r="H311" t="inlineStr">
        <is>
          <t>Sveaskog</t>
        </is>
      </c>
      <c r="I311" t="n">
        <v>2.8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s="2" t="inlineStr"/>
    </row>
    <row r="312" ht="15" customHeight="1">
      <c r="A312" t="inlineStr">
        <is>
          <t>A 12018-2026</t>
        </is>
      </c>
      <c r="B312" t="inlineStr">
        <is>
          <t>avverkningsanmälan</t>
        </is>
      </c>
      <c r="C312" t="inlineStr">
        <is>
          <t>Föryngringsavverkning</t>
        </is>
      </c>
      <c r="D312" s="1" t="n">
        <v>46085</v>
      </c>
      <c r="E312" s="1" t="n">
        <v>46307</v>
      </c>
      <c r="F312" t="inlineStr">
        <is>
          <t>KRONOBERGS LÄN</t>
        </is>
      </c>
      <c r="G312" t="inlineStr">
        <is>
          <t>MARKARYD</t>
        </is>
      </c>
      <c r="I312" t="n">
        <v>0.2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s="2" t="inlineStr"/>
    </row>
    <row r="313" ht="15" customHeight="1">
      <c r="A313" t="inlineStr">
        <is>
          <t>A 12020-2026</t>
        </is>
      </c>
      <c r="B313" t="inlineStr">
        <is>
          <t>avverkningsanmälan</t>
        </is>
      </c>
      <c r="C313" t="inlineStr">
        <is>
          <t>Föryngringsavverkning</t>
        </is>
      </c>
      <c r="D313" s="1" t="n">
        <v>46085</v>
      </c>
      <c r="E313" s="1" t="n">
        <v>46307</v>
      </c>
      <c r="F313" t="inlineStr">
        <is>
          <t>KRONOBERGS LÄN</t>
        </is>
      </c>
      <c r="G313" t="inlineStr">
        <is>
          <t>MARKARYD</t>
        </is>
      </c>
      <c r="I313" t="n">
        <v>1.6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s="2" t="inlineStr"/>
    </row>
    <row r="314" ht="15" customHeight="1">
      <c r="A314" t="inlineStr">
        <is>
          <t>A 57437-2025</t>
        </is>
      </c>
      <c r="B314" t="inlineStr">
        <is>
          <t>avverkningsanmälan</t>
        </is>
      </c>
      <c r="C314" t="inlineStr">
        <is>
          <t>Föryngringsavverkning</t>
        </is>
      </c>
      <c r="D314" s="1" t="n">
        <v>45980</v>
      </c>
      <c r="E314" s="1" t="n">
        <v>46307</v>
      </c>
      <c r="F314" t="inlineStr">
        <is>
          <t>KRONOBERGS LÄN</t>
        </is>
      </c>
      <c r="G314" t="inlineStr">
        <is>
          <t>MARKARYD</t>
        </is>
      </c>
      <c r="I314" t="n">
        <v>2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s="2" t="inlineStr"/>
    </row>
    <row r="315" ht="15" customHeight="1">
      <c r="A315" t="inlineStr">
        <is>
          <t>A 12019-2026</t>
        </is>
      </c>
      <c r="B315" t="inlineStr">
        <is>
          <t>avverkningsanmälan</t>
        </is>
      </c>
      <c r="C315" t="inlineStr">
        <is>
          <t>Föryngringsavverkning</t>
        </is>
      </c>
      <c r="D315" s="1" t="n">
        <v>46085</v>
      </c>
      <c r="E315" s="1" t="n">
        <v>46307</v>
      </c>
      <c r="F315" t="inlineStr">
        <is>
          <t>KRONOBERGS LÄN</t>
        </is>
      </c>
      <c r="G315" t="inlineStr">
        <is>
          <t>MARKARYD</t>
        </is>
      </c>
      <c r="I315" t="n">
        <v>0.6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s="2" t="inlineStr"/>
    </row>
    <row r="316" ht="15" customHeight="1">
      <c r="A316" t="inlineStr">
        <is>
          <t>A 12021-2026</t>
        </is>
      </c>
      <c r="B316" t="inlineStr">
        <is>
          <t>avverkningsanmälan</t>
        </is>
      </c>
      <c r="C316" t="inlineStr">
        <is>
          <t>Föryngringsavverkning</t>
        </is>
      </c>
      <c r="D316" s="1" t="n">
        <v>46085</v>
      </c>
      <c r="E316" s="1" t="n">
        <v>46307</v>
      </c>
      <c r="F316" t="inlineStr">
        <is>
          <t>KRONOBERGS LÄN</t>
        </is>
      </c>
      <c r="G316" t="inlineStr">
        <is>
          <t>MARKARYD</t>
        </is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s="2" t="inlineStr"/>
    </row>
    <row r="317" ht="15" customHeight="1">
      <c r="A317" t="inlineStr">
        <is>
          <t>A 12022-2026</t>
        </is>
      </c>
      <c r="B317" t="inlineStr">
        <is>
          <t>avverkningsanmälan</t>
        </is>
      </c>
      <c r="C317" t="inlineStr">
        <is>
          <t>Föryngringsavverkning</t>
        </is>
      </c>
      <c r="D317" s="1" t="n">
        <v>46085</v>
      </c>
      <c r="E317" s="1" t="n">
        <v>46307</v>
      </c>
      <c r="F317" t="inlineStr">
        <is>
          <t>KRONOBERGS LÄN</t>
        </is>
      </c>
      <c r="G317" t="inlineStr">
        <is>
          <t>MARKARYD</t>
        </is>
      </c>
      <c r="I317" t="n">
        <v>0.2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s="2" t="inlineStr"/>
    </row>
    <row r="318" ht="15" customHeight="1">
      <c r="A318" t="inlineStr">
        <is>
          <t>A 60813-2025</t>
        </is>
      </c>
      <c r="B318" t="inlineStr">
        <is>
          <t>avverkningsanmälan</t>
        </is>
      </c>
      <c r="C318" t="inlineStr">
        <is>
          <t>Föryngringsavverkning</t>
        </is>
      </c>
      <c r="D318" s="1" t="n">
        <v>45999</v>
      </c>
      <c r="E318" s="1" t="n">
        <v>46307</v>
      </c>
      <c r="F318" t="inlineStr">
        <is>
          <t>KRONOBERGS LÄN</t>
        </is>
      </c>
      <c r="G318" t="inlineStr">
        <is>
          <t>MARKARYD</t>
        </is>
      </c>
      <c r="I318" t="n">
        <v>1.8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s="2" t="inlineStr"/>
    </row>
    <row r="319" ht="15" customHeight="1">
      <c r="A319" t="inlineStr">
        <is>
          <t>A 12521-2026</t>
        </is>
      </c>
      <c r="B319" t="inlineStr">
        <is>
          <t>avverkningsanmälan</t>
        </is>
      </c>
      <c r="C319" t="inlineStr">
        <is>
          <t>Föryngringsavverkning</t>
        </is>
      </c>
      <c r="D319" s="1" t="n">
        <v>46090</v>
      </c>
      <c r="E319" s="1" t="n">
        <v>46307</v>
      </c>
      <c r="F319" t="inlineStr">
        <is>
          <t>KRONOBERGS LÄN</t>
        </is>
      </c>
      <c r="G319" t="inlineStr">
        <is>
          <t>MARKARYD</t>
        </is>
      </c>
      <c r="H319" t="inlineStr">
        <is>
          <t>Sveaskog</t>
        </is>
      </c>
      <c r="I319" t="n">
        <v>4.2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s="2" t="inlineStr"/>
    </row>
    <row r="320" ht="15" customHeight="1">
      <c r="A320" t="inlineStr">
        <is>
          <t>A 12524-2026</t>
        </is>
      </c>
      <c r="B320" t="inlineStr">
        <is>
          <t>avverkningsanmälan</t>
        </is>
      </c>
      <c r="C320" t="inlineStr">
        <is>
          <t>Föryngringsavverkning</t>
        </is>
      </c>
      <c r="D320" s="1" t="n">
        <v>46090</v>
      </c>
      <c r="E320" s="1" t="n">
        <v>46307</v>
      </c>
      <c r="F320" t="inlineStr">
        <is>
          <t>KRONOBERGS LÄN</t>
        </is>
      </c>
      <c r="G320" t="inlineStr">
        <is>
          <t>MARKARYD</t>
        </is>
      </c>
      <c r="H320" t="inlineStr">
        <is>
          <t>Sveaskog</t>
        </is>
      </c>
      <c r="I320" t="n">
        <v>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s="2" t="inlineStr"/>
    </row>
    <row r="321" ht="15" customHeight="1">
      <c r="A321" t="inlineStr">
        <is>
          <t>A 12522-2026</t>
        </is>
      </c>
      <c r="B321" t="inlineStr">
        <is>
          <t>avverkningsanmälan</t>
        </is>
      </c>
      <c r="C321" t="inlineStr">
        <is>
          <t>Föryngringsavverkning</t>
        </is>
      </c>
      <c r="D321" s="1" t="n">
        <v>46090</v>
      </c>
      <c r="E321" s="1" t="n">
        <v>46307</v>
      </c>
      <c r="F321" t="inlineStr">
        <is>
          <t>KRONOBERGS LÄN</t>
        </is>
      </c>
      <c r="G321" t="inlineStr">
        <is>
          <t>MARKARYD</t>
        </is>
      </c>
      <c r="H321" t="inlineStr">
        <is>
          <t>Sveaskog</t>
        </is>
      </c>
      <c r="I321" t="n">
        <v>5.4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s="2" t="inlineStr"/>
    </row>
    <row r="322" ht="15" customHeight="1">
      <c r="A322" t="inlineStr">
        <is>
          <t>A 12526-2026</t>
        </is>
      </c>
      <c r="B322" t="inlineStr">
        <is>
          <t>avverkningsanmälan</t>
        </is>
      </c>
      <c r="C322" t="inlineStr">
        <is>
          <t>Föryngringsavverkning</t>
        </is>
      </c>
      <c r="D322" s="1" t="n">
        <v>46090</v>
      </c>
      <c r="E322" s="1" t="n">
        <v>46307</v>
      </c>
      <c r="F322" t="inlineStr">
        <is>
          <t>KRONOBERGS LÄN</t>
        </is>
      </c>
      <c r="G322" t="inlineStr">
        <is>
          <t>MARKARYD</t>
        </is>
      </c>
      <c r="H322" t="inlineStr">
        <is>
          <t>Sveaskog</t>
        </is>
      </c>
      <c r="I322" t="n">
        <v>1.5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s="2" t="inlineStr"/>
    </row>
    <row r="323" ht="15" customHeight="1">
      <c r="A323" t="inlineStr">
        <is>
          <t>A 12530-2026</t>
        </is>
      </c>
      <c r="B323" t="inlineStr">
        <is>
          <t>avverkningsanmälan</t>
        </is>
      </c>
      <c r="C323" t="inlineStr">
        <is>
          <t>Föryngringsavverkning</t>
        </is>
      </c>
      <c r="D323" s="1" t="n">
        <v>46090</v>
      </c>
      <c r="E323" s="1" t="n">
        <v>46307</v>
      </c>
      <c r="F323" t="inlineStr">
        <is>
          <t>KRONOBERGS LÄN</t>
        </is>
      </c>
      <c r="G323" t="inlineStr">
        <is>
          <t>MARKARYD</t>
        </is>
      </c>
      <c r="H323" t="inlineStr">
        <is>
          <t>Sveaskog</t>
        </is>
      </c>
      <c r="I323" t="n">
        <v>2.7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s="2" t="inlineStr"/>
    </row>
    <row r="324" ht="15" customHeight="1">
      <c r="A324" t="inlineStr">
        <is>
          <t>A 12531-2026</t>
        </is>
      </c>
      <c r="B324" t="inlineStr">
        <is>
          <t>avverkningsanmälan</t>
        </is>
      </c>
      <c r="C324" t="inlineStr">
        <is>
          <t>Föryngringsavverkning</t>
        </is>
      </c>
      <c r="D324" s="1" t="n">
        <v>46090</v>
      </c>
      <c r="E324" s="1" t="n">
        <v>46307</v>
      </c>
      <c r="F324" t="inlineStr">
        <is>
          <t>KRONOBERGS LÄN</t>
        </is>
      </c>
      <c r="G324" t="inlineStr">
        <is>
          <t>MARKARYD</t>
        </is>
      </c>
      <c r="H324" t="inlineStr">
        <is>
          <t>Sveaskog</t>
        </is>
      </c>
      <c r="I324" t="n">
        <v>1.9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s="2" t="inlineStr"/>
    </row>
    <row r="325" ht="15" customHeight="1">
      <c r="A325" t="inlineStr">
        <is>
          <t>A 20774-2026</t>
        </is>
      </c>
      <c r="B325" t="inlineStr">
        <is>
          <t>avverkningsanmälan</t>
        </is>
      </c>
      <c r="C325" t="inlineStr">
        <is>
          <t>Föryngringsavverkning</t>
        </is>
      </c>
      <c r="D325" s="1" t="n">
        <v>46141</v>
      </c>
      <c r="E325" s="1" t="n">
        <v>46307</v>
      </c>
      <c r="F325" t="inlineStr">
        <is>
          <t>KRONOBERGS LÄN</t>
        </is>
      </c>
      <c r="G325" t="inlineStr">
        <is>
          <t>MARKARYD</t>
        </is>
      </c>
      <c r="I325" t="n">
        <v>0.9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s="2" t="inlineStr"/>
    </row>
    <row r="326" ht="15" customHeight="1">
      <c r="A326" t="inlineStr">
        <is>
          <t>A 32381-2025</t>
        </is>
      </c>
      <c r="B326" t="inlineStr">
        <is>
          <t>avverkningsanmälan</t>
        </is>
      </c>
      <c r="C326" t="inlineStr">
        <is>
          <t>Föryngringsavverkning</t>
        </is>
      </c>
      <c r="D326" s="1" t="n">
        <v>45837</v>
      </c>
      <c r="E326" s="1" t="n">
        <v>46307</v>
      </c>
      <c r="F326" t="inlineStr">
        <is>
          <t>KRONOBERGS LÄN</t>
        </is>
      </c>
      <c r="G326" t="inlineStr">
        <is>
          <t>MARKARYD</t>
        </is>
      </c>
      <c r="I326" t="n">
        <v>1.9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s="2" t="inlineStr"/>
    </row>
    <row r="327" ht="15" customHeight="1">
      <c r="A327" t="inlineStr">
        <is>
          <t>A 24191-2026</t>
        </is>
      </c>
      <c r="B327" t="inlineStr">
        <is>
          <t>avverkningsanmälan</t>
        </is>
      </c>
      <c r="C327" t="inlineStr">
        <is>
          <t>Föryngringsavverkning</t>
        </is>
      </c>
      <c r="D327" s="1" t="n">
        <v>46168</v>
      </c>
      <c r="E327" s="1" t="n">
        <v>46307</v>
      </c>
      <c r="F327" t="inlineStr">
        <is>
          <t>KRONOBERGS LÄN</t>
        </is>
      </c>
      <c r="G327" t="inlineStr">
        <is>
          <t>MARKARYD</t>
        </is>
      </c>
      <c r="I327" t="n">
        <v>0.7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s="2" t="inlineStr"/>
    </row>
    <row r="328" ht="15" customHeight="1">
      <c r="A328" t="inlineStr">
        <is>
          <t>A 25160-2026</t>
        </is>
      </c>
      <c r="B328" t="inlineStr">
        <is>
          <t>avverkningsanmälan</t>
        </is>
      </c>
      <c r="C328" t="inlineStr">
        <is>
          <t>Avverkning för annat ändamål</t>
        </is>
      </c>
      <c r="D328" s="1" t="n">
        <v>46175</v>
      </c>
      <c r="E328" s="1" t="n">
        <v>46307</v>
      </c>
      <c r="F328" t="inlineStr">
        <is>
          <t>KRONOBERGS LÄN</t>
        </is>
      </c>
      <c r="G328" t="inlineStr">
        <is>
          <t>MARKARYD</t>
        </is>
      </c>
      <c r="I328" t="n">
        <v>4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s="2" t="inlineStr"/>
    </row>
    <row r="329" ht="15" customHeight="1">
      <c r="A329" t="inlineStr">
        <is>
          <t>A 27604-2026</t>
        </is>
      </c>
      <c r="B329" t="inlineStr">
        <is>
          <t>avverkningsanmälan</t>
        </is>
      </c>
      <c r="C329" t="inlineStr">
        <is>
          <t>Föryngringsavverkning</t>
        </is>
      </c>
      <c r="D329" s="1" t="n">
        <v>46190</v>
      </c>
      <c r="E329" s="1" t="n">
        <v>46307</v>
      </c>
      <c r="F329" t="inlineStr">
        <is>
          <t>KRONOBERGS LÄN</t>
        </is>
      </c>
      <c r="G329" t="inlineStr">
        <is>
          <t>MARKARYD</t>
        </is>
      </c>
      <c r="I329" t="n">
        <v>1.6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s="2" t="inlineStr"/>
    </row>
    <row r="330" ht="15" customHeight="1">
      <c r="A330" t="inlineStr">
        <is>
          <t>A 30931-2026</t>
        </is>
      </c>
      <c r="B330" t="inlineStr">
        <is>
          <t>avverkningsanmälan</t>
        </is>
      </c>
      <c r="C330" t="inlineStr">
        <is>
          <t>Föryngringsavverkning</t>
        </is>
      </c>
      <c r="D330" s="1" t="n">
        <v>46213</v>
      </c>
      <c r="E330" s="1" t="n">
        <v>46307</v>
      </c>
      <c r="F330" t="inlineStr">
        <is>
          <t>KRONOBERGS LÄN</t>
        </is>
      </c>
      <c r="G330" t="inlineStr">
        <is>
          <t>MARKARYD</t>
        </is>
      </c>
      <c r="I330" t="n">
        <v>1.5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s="2" t="inlineStr"/>
    </row>
    <row r="331" ht="15" customHeight="1">
      <c r="A331" t="inlineStr">
        <is>
          <t>A 36208-2026</t>
        </is>
      </c>
      <c r="B331" t="inlineStr">
        <is>
          <t>avverkningsanmälan</t>
        </is>
      </c>
      <c r="C331" t="inlineStr">
        <is>
          <t>Föryngringsavverkning</t>
        </is>
      </c>
      <c r="D331" s="1" t="n">
        <v>46267</v>
      </c>
      <c r="E331" s="1" t="n">
        <v>46307</v>
      </c>
      <c r="F331" t="inlineStr">
        <is>
          <t>KRONOBERGS LÄN</t>
        </is>
      </c>
      <c r="G331" t="inlineStr">
        <is>
          <t>MARKARYD</t>
        </is>
      </c>
      <c r="I331" t="n">
        <v>3.6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s="2" t="inlineStr"/>
    </row>
    <row r="332" ht="15" customHeight="1">
      <c r="A332" t="inlineStr">
        <is>
          <t>A 36601-2026</t>
        </is>
      </c>
      <c r="B332" t="inlineStr">
        <is>
          <t>avverkningsanmälan</t>
        </is>
      </c>
      <c r="C332" t="inlineStr">
        <is>
          <t>Föryngringsavverkning</t>
        </is>
      </c>
      <c r="D332" s="1" t="n">
        <v>46269</v>
      </c>
      <c r="E332" s="1" t="n">
        <v>46307</v>
      </c>
      <c r="F332" t="inlineStr">
        <is>
          <t>KRONOBERGS LÄN</t>
        </is>
      </c>
      <c r="G332" t="inlineStr">
        <is>
          <t>MARKARYD</t>
        </is>
      </c>
      <c r="I332" t="n">
        <v>2.4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s="2" t="inlineStr"/>
    </row>
    <row r="333" ht="15" customHeight="1">
      <c r="A333" t="inlineStr">
        <is>
          <t>A 36598-2026</t>
        </is>
      </c>
      <c r="B333" t="inlineStr">
        <is>
          <t>avverkningsanmälan</t>
        </is>
      </c>
      <c r="C333" t="inlineStr">
        <is>
          <t>Föryngringsavverkning</t>
        </is>
      </c>
      <c r="D333" s="1" t="n">
        <v>46269</v>
      </c>
      <c r="E333" s="1" t="n">
        <v>46307</v>
      </c>
      <c r="F333" t="inlineStr">
        <is>
          <t>KRONOBERGS LÄN</t>
        </is>
      </c>
      <c r="G333" t="inlineStr">
        <is>
          <t>MARKARYD</t>
        </is>
      </c>
      <c r="I333" t="n">
        <v>3.3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s="2" t="inlineStr"/>
    </row>
    <row r="334" ht="15" customHeight="1">
      <c r="A334" t="inlineStr">
        <is>
          <t>A 36566-2026</t>
        </is>
      </c>
      <c r="B334" t="inlineStr">
        <is>
          <t>avverkningsanmälan</t>
        </is>
      </c>
      <c r="C334" t="inlineStr">
        <is>
          <t>Föryngringsavverkning</t>
        </is>
      </c>
      <c r="D334" s="1" t="n">
        <v>46269</v>
      </c>
      <c r="E334" s="1" t="n">
        <v>46307</v>
      </c>
      <c r="F334" t="inlineStr">
        <is>
          <t>KRONOBERGS LÄN</t>
        </is>
      </c>
      <c r="G334" t="inlineStr">
        <is>
          <t>MARKARYD</t>
        </is>
      </c>
      <c r="I334" t="n">
        <v>1.3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s="2" t="inlineStr"/>
    </row>
    <row r="335" ht="15" customHeight="1">
      <c r="A335" t="inlineStr">
        <is>
          <t>A 38290-2026</t>
        </is>
      </c>
      <c r="B335" t="inlineStr">
        <is>
          <t>avverkningsanmälan</t>
        </is>
      </c>
      <c r="C335" t="inlineStr">
        <is>
          <t>Föryngringsavverkning</t>
        </is>
      </c>
      <c r="D335" s="1" t="n">
        <v>46282</v>
      </c>
      <c r="E335" s="1" t="n">
        <v>46307</v>
      </c>
      <c r="F335" t="inlineStr">
        <is>
          <t>KRONOBERGS LÄN</t>
        </is>
      </c>
      <c r="G335" t="inlineStr">
        <is>
          <t>MARKARYD</t>
        </is>
      </c>
      <c r="I335" t="n">
        <v>0.9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s="2" t="inlineStr"/>
    </row>
    <row r="336" ht="15" customHeight="1">
      <c r="A336" t="inlineStr">
        <is>
          <t>A 32672-2026</t>
        </is>
      </c>
      <c r="B336" t="inlineStr">
        <is>
          <t>avverkningsanmälan</t>
        </is>
      </c>
      <c r="C336" t="inlineStr">
        <is>
          <t>Föryngringsavverkning</t>
        </is>
      </c>
      <c r="D336" s="1" t="n">
        <v>46240</v>
      </c>
      <c r="E336" s="1" t="n">
        <v>46307</v>
      </c>
      <c r="F336" t="inlineStr">
        <is>
          <t>KRONOBERGS LÄN</t>
        </is>
      </c>
      <c r="G336" t="inlineStr">
        <is>
          <t>MARKARYD</t>
        </is>
      </c>
      <c r="H336" t="inlineStr">
        <is>
          <t>Kyrkan</t>
        </is>
      </c>
      <c r="I336" t="n">
        <v>1.2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s="2" t="inlineStr"/>
    </row>
    <row r="337" ht="15" customHeight="1">
      <c r="A337" t="inlineStr">
        <is>
          <t>A 38314-2026</t>
        </is>
      </c>
      <c r="B337" t="inlineStr">
        <is>
          <t>avverkningsanmälan</t>
        </is>
      </c>
      <c r="C337" t="inlineStr">
        <is>
          <t>Föryngringsavverkning</t>
        </is>
      </c>
      <c r="D337" s="1" t="n">
        <v>46282</v>
      </c>
      <c r="E337" s="1" t="n">
        <v>46307</v>
      </c>
      <c r="F337" t="inlineStr">
        <is>
          <t>KRONOBERGS LÄN</t>
        </is>
      </c>
      <c r="G337" t="inlineStr">
        <is>
          <t>MARKARYD</t>
        </is>
      </c>
      <c r="I337" t="n">
        <v>0.5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s="2" t="inlineStr"/>
    </row>
    <row r="338" ht="15" customHeight="1">
      <c r="A338" t="inlineStr">
        <is>
          <t>A 32680-2026</t>
        </is>
      </c>
      <c r="B338" t="inlineStr">
        <is>
          <t>avverkningsanmälan</t>
        </is>
      </c>
      <c r="C338" t="inlineStr">
        <is>
          <t>Föryngringsavverkning</t>
        </is>
      </c>
      <c r="D338" s="1" t="n">
        <v>46240</v>
      </c>
      <c r="E338" s="1" t="n">
        <v>46307</v>
      </c>
      <c r="F338" t="inlineStr">
        <is>
          <t>KRONOBERGS LÄN</t>
        </is>
      </c>
      <c r="G338" t="inlineStr">
        <is>
          <t>MARKARYD</t>
        </is>
      </c>
      <c r="H338" t="inlineStr">
        <is>
          <t>Kyrkan</t>
        </is>
      </c>
      <c r="I338" t="n">
        <v>4.1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s="2" t="inlineStr"/>
    </row>
    <row r="339" ht="15" customHeight="1">
      <c r="A339" t="inlineStr">
        <is>
          <t>A 38190-2026</t>
        </is>
      </c>
      <c r="B339" t="inlineStr">
        <is>
          <t>avverkningsanmälan</t>
        </is>
      </c>
      <c r="C339" t="inlineStr">
        <is>
          <t>Föryngringsavverkning</t>
        </is>
      </c>
      <c r="D339" s="1" t="n">
        <v>46281</v>
      </c>
      <c r="E339" s="1" t="n">
        <v>46307</v>
      </c>
      <c r="F339" t="inlineStr">
        <is>
          <t>KRONOBERGS LÄN</t>
        </is>
      </c>
      <c r="G339" t="inlineStr">
        <is>
          <t>MARKARYD</t>
        </is>
      </c>
      <c r="I339" t="n">
        <v>1.7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s="2" t="inlineStr"/>
    </row>
    <row r="340" ht="15" customHeight="1">
      <c r="A340" t="inlineStr">
        <is>
          <t>A 33102-2026</t>
        </is>
      </c>
      <c r="B340" t="inlineStr">
        <is>
          <t>avverkningsanmälan</t>
        </is>
      </c>
      <c r="C340" t="inlineStr">
        <is>
          <t>Föryngringsavverkning</t>
        </is>
      </c>
      <c r="D340" s="1" t="n">
        <v>46244</v>
      </c>
      <c r="E340" s="1" t="n">
        <v>46307</v>
      </c>
      <c r="F340" t="inlineStr">
        <is>
          <t>KRONOBERGS LÄN</t>
        </is>
      </c>
      <c r="G340" t="inlineStr">
        <is>
          <t>MARKARYD</t>
        </is>
      </c>
      <c r="H340" t="inlineStr">
        <is>
          <t>Kyrkan</t>
        </is>
      </c>
      <c r="I340" t="n">
        <v>5.8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s="2" t="inlineStr"/>
    </row>
    <row r="341" ht="15" customHeight="1">
      <c r="A341" t="inlineStr">
        <is>
          <t>A 39317-2026</t>
        </is>
      </c>
      <c r="B341" t="inlineStr">
        <is>
          <t>avverkningsanmälan</t>
        </is>
      </c>
      <c r="C341" t="inlineStr">
        <is>
          <t>Föryngringsavverkning</t>
        </is>
      </c>
      <c r="D341" s="1" t="n">
        <v>46288</v>
      </c>
      <c r="E341" s="1" t="n">
        <v>46307</v>
      </c>
      <c r="F341" t="inlineStr">
        <is>
          <t>KRONOBERGS LÄN</t>
        </is>
      </c>
      <c r="G341" t="inlineStr">
        <is>
          <t>MARKARYD</t>
        </is>
      </c>
      <c r="I341" t="n">
        <v>3.2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s="2" t="inlineStr"/>
    </row>
    <row r="342" ht="15" customHeight="1">
      <c r="A342" t="inlineStr">
        <is>
          <t>A 39950-2026</t>
        </is>
      </c>
      <c r="B342" t="inlineStr">
        <is>
          <t>avverkningsanmälan</t>
        </is>
      </c>
      <c r="C342" t="inlineStr">
        <is>
          <t>Föryngringsavverkning</t>
        </is>
      </c>
      <c r="D342" s="1" t="n">
        <v>46290</v>
      </c>
      <c r="E342" s="1" t="n">
        <v>46307</v>
      </c>
      <c r="F342" t="inlineStr">
        <is>
          <t>KRONOBERGS LÄN</t>
        </is>
      </c>
      <c r="G342" t="inlineStr">
        <is>
          <t>MARKARYD</t>
        </is>
      </c>
      <c r="I342" t="n">
        <v>1.5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s="2" t="inlineStr"/>
    </row>
    <row r="343" ht="15" customHeight="1">
      <c r="A343" t="inlineStr">
        <is>
          <t>A 22671-2026</t>
        </is>
      </c>
      <c r="B343" t="inlineStr">
        <is>
          <t>avverkningsanmälan</t>
        </is>
      </c>
      <c r="C343" t="inlineStr">
        <is>
          <t>Föryngringsavverkning</t>
        </is>
      </c>
      <c r="D343" s="1" t="n">
        <v>46155</v>
      </c>
      <c r="E343" s="1" t="n">
        <v>46307</v>
      </c>
      <c r="F343" t="inlineStr">
        <is>
          <t>KRONOBERGS LÄN</t>
        </is>
      </c>
      <c r="G343" t="inlineStr">
        <is>
          <t>MARKARYD</t>
        </is>
      </c>
      <c r="I343" t="n">
        <v>1.9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s="2" t="inlineStr"/>
    </row>
    <row r="344" ht="15" customHeight="1">
      <c r="A344" t="inlineStr">
        <is>
          <t>A 5775-2026</t>
        </is>
      </c>
      <c r="B344" t="inlineStr">
        <is>
          <t>avverkningsanmälan</t>
        </is>
      </c>
      <c r="C344" t="inlineStr">
        <is>
          <t>Föryngringsavverkning</t>
        </is>
      </c>
      <c r="D344" s="1" t="n">
        <v>46049</v>
      </c>
      <c r="E344" s="1" t="n">
        <v>46307</v>
      </c>
      <c r="F344" t="inlineStr">
        <is>
          <t>KRONOBERGS LÄN</t>
        </is>
      </c>
      <c r="G344" t="inlineStr">
        <is>
          <t>MARKARYD</t>
        </is>
      </c>
      <c r="I344" t="n">
        <v>2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s="2" t="inlineStr"/>
    </row>
    <row r="345" ht="15" customHeight="1">
      <c r="A345" t="inlineStr">
        <is>
          <t>A 40932-2026</t>
        </is>
      </c>
      <c r="B345" t="inlineStr">
        <is>
          <t>avverkningsanmälan</t>
        </is>
      </c>
      <c r="C345" t="inlineStr">
        <is>
          <t>Föryngringsavverkning</t>
        </is>
      </c>
      <c r="D345" s="1" t="n">
        <v>46297</v>
      </c>
      <c r="E345" s="1" t="n">
        <v>46307</v>
      </c>
      <c r="F345" t="inlineStr">
        <is>
          <t>KRONOBERGS LÄN</t>
        </is>
      </c>
      <c r="G345" t="inlineStr">
        <is>
          <t>MARKARYD</t>
        </is>
      </c>
      <c r="I345" t="n">
        <v>2.1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s="2" t="inlineStr"/>
    </row>
    <row r="346" ht="15" customHeight="1">
      <c r="A346" t="inlineStr">
        <is>
          <t>A 40926-2026</t>
        </is>
      </c>
      <c r="B346" t="inlineStr">
        <is>
          <t>avverkningsanmälan</t>
        </is>
      </c>
      <c r="C346" t="inlineStr">
        <is>
          <t>Föryngringsavverkning</t>
        </is>
      </c>
      <c r="D346" s="1" t="n">
        <v>46297</v>
      </c>
      <c r="E346" s="1" t="n">
        <v>46307</v>
      </c>
      <c r="F346" t="inlineStr">
        <is>
          <t>KRONOBERGS LÄN</t>
        </is>
      </c>
      <c r="G346" t="inlineStr">
        <is>
          <t>MARKARYD</t>
        </is>
      </c>
      <c r="I346" t="n">
        <v>6.8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s="2" t="inlineStr"/>
    </row>
    <row r="347" ht="15" customHeight="1">
      <c r="A347" t="inlineStr">
        <is>
          <t>A 40936-2026</t>
        </is>
      </c>
      <c r="B347" t="inlineStr">
        <is>
          <t>avverkningsanmälan</t>
        </is>
      </c>
      <c r="C347" t="inlineStr">
        <is>
          <t>Föryngringsavverkning</t>
        </is>
      </c>
      <c r="D347" s="1" t="n">
        <v>46297</v>
      </c>
      <c r="E347" s="1" t="n">
        <v>46307</v>
      </c>
      <c r="F347" t="inlineStr">
        <is>
          <t>KRONOBERGS LÄN</t>
        </is>
      </c>
      <c r="G347" t="inlineStr">
        <is>
          <t>MARKARYD</t>
        </is>
      </c>
      <c r="I347" t="n">
        <v>6.9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s="2" t="inlineStr"/>
    </row>
    <row r="348" ht="15" customHeight="1">
      <c r="A348" t="inlineStr">
        <is>
          <t>A 30613-2026</t>
        </is>
      </c>
      <c r="B348" t="inlineStr">
        <is>
          <t>avverkningsanmälan</t>
        </is>
      </c>
      <c r="C348" t="inlineStr">
        <is>
          <t>Föryngringsavverkning</t>
        </is>
      </c>
      <c r="D348" s="1" t="n">
        <v>46210</v>
      </c>
      <c r="E348" s="1" t="n">
        <v>46307</v>
      </c>
      <c r="F348" t="inlineStr">
        <is>
          <t>KRONOBERGS LÄN</t>
        </is>
      </c>
      <c r="G348" t="inlineStr">
        <is>
          <t>MARKARYD</t>
        </is>
      </c>
      <c r="H348" t="inlineStr">
        <is>
          <t>Kommuner</t>
        </is>
      </c>
      <c r="I348" t="n">
        <v>1.4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s="2" t="inlineStr"/>
    </row>
    <row r="349" ht="15" customHeight="1">
      <c r="A349" t="inlineStr">
        <is>
          <t>A 41098-2026</t>
        </is>
      </c>
      <c r="B349" t="inlineStr">
        <is>
          <t>avverkningsanmälan</t>
        </is>
      </c>
      <c r="C349" t="inlineStr">
        <is>
          <t>Föryngringsavverkning</t>
        </is>
      </c>
      <c r="D349" s="1" t="n">
        <v>46300</v>
      </c>
      <c r="E349" s="1" t="n">
        <v>46307</v>
      </c>
      <c r="F349" t="inlineStr">
        <is>
          <t>KRONOBERGS LÄN</t>
        </is>
      </c>
      <c r="G349" t="inlineStr">
        <is>
          <t>MARKARYD</t>
        </is>
      </c>
      <c r="H349" t="inlineStr">
        <is>
          <t>Kommuner</t>
        </is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s="2" t="inlineStr"/>
    </row>
    <row r="350" ht="15" customHeight="1">
      <c r="A350" t="inlineStr">
        <is>
          <t>S 1202-2022</t>
        </is>
      </c>
      <c r="B350" t="inlineStr">
        <is>
          <t>samrådsanmälan</t>
        </is>
      </c>
      <c r="C350" t="inlineStr">
        <is>
          <t>Askåterföring</t>
        </is>
      </c>
      <c r="D350" s="1" t="n">
        <v>44621</v>
      </c>
      <c r="E350" s="1" t="n">
        <v>46307</v>
      </c>
      <c r="F350" t="inlineStr">
        <is>
          <t>KRONOBERGS LÄN</t>
        </is>
      </c>
      <c r="G350" t="inlineStr">
        <is>
          <t>MARKARYD</t>
        </is>
      </c>
      <c r="I350" t="n">
        <v>47.1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s="2" t="inlineStr"/>
    </row>
    <row r="351" ht="15" customHeight="1">
      <c r="A351" t="inlineStr">
        <is>
          <t>S 1099-2023</t>
        </is>
      </c>
      <c r="B351" t="inlineStr">
        <is>
          <t>samrådsanmälan</t>
        </is>
      </c>
      <c r="C351" t="inlineStr">
        <is>
          <t>Askåterföring</t>
        </is>
      </c>
      <c r="D351" s="1" t="n">
        <v>45014</v>
      </c>
      <c r="E351" s="1" t="n">
        <v>46307</v>
      </c>
      <c r="F351" t="inlineStr">
        <is>
          <t>KRONOBERGS LÄN</t>
        </is>
      </c>
      <c r="G351" t="inlineStr">
        <is>
          <t>MARKARYD</t>
        </is>
      </c>
      <c r="I351" t="n">
        <v>14.9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s="2" t="inlineStr"/>
    </row>
    <row r="352" ht="15" customHeight="1">
      <c r="A352" t="inlineStr">
        <is>
          <t>S 3669-2024</t>
        </is>
      </c>
      <c r="B352" t="inlineStr">
        <is>
          <t>samrådsanmälan</t>
        </is>
      </c>
      <c r="C352" t="inlineStr">
        <is>
          <t>Askåterföring</t>
        </is>
      </c>
      <c r="D352" s="1" t="n">
        <v>45551</v>
      </c>
      <c r="E352" s="1" t="n">
        <v>46307</v>
      </c>
      <c r="F352" t="inlineStr">
        <is>
          <t>KRONOBERGS LÄN</t>
        </is>
      </c>
      <c r="G352" t="inlineStr">
        <is>
          <t>MARKARYD</t>
        </is>
      </c>
      <c r="I352" t="n">
        <v>41.3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s="2" t="inlineStr"/>
    </row>
    <row r="353" ht="15" customHeight="1">
      <c r="A353" t="inlineStr">
        <is>
          <t>S 5959-2022</t>
        </is>
      </c>
      <c r="B353" t="inlineStr">
        <is>
          <t>samrådsanmälan</t>
        </is>
      </c>
      <c r="C353" t="inlineStr">
        <is>
          <t>Annan skogsbruksåtgärd</t>
        </is>
      </c>
      <c r="D353" s="1" t="n">
        <v>44858</v>
      </c>
      <c r="E353" s="1" t="n">
        <v>46307</v>
      </c>
      <c r="F353" t="inlineStr">
        <is>
          <t>KRONOBERGS LÄN</t>
        </is>
      </c>
      <c r="G353" t="inlineStr">
        <is>
          <t>MARKARYD</t>
        </is>
      </c>
      <c r="I353" t="n">
        <v>0.8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s="2" t="inlineStr"/>
    </row>
    <row r="354" ht="15" customHeight="1">
      <c r="A354" t="inlineStr">
        <is>
          <t>S 936-2023</t>
        </is>
      </c>
      <c r="B354" t="inlineStr">
        <is>
          <t>samrådsanmälan</t>
        </is>
      </c>
      <c r="C354" t="inlineStr">
        <is>
          <t>Annan skogsbruksåtgärd</t>
        </is>
      </c>
      <c r="D354" s="1" t="n">
        <v>45002</v>
      </c>
      <c r="E354" s="1" t="n">
        <v>46307</v>
      </c>
      <c r="F354" t="inlineStr">
        <is>
          <t>KRONOBERGS LÄN</t>
        </is>
      </c>
      <c r="G354" t="inlineStr">
        <is>
          <t>MARKARYD</t>
        </is>
      </c>
      <c r="I354" t="n">
        <v>1.5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s="2" t="inlineStr"/>
    </row>
    <row r="355" ht="15" customHeight="1">
      <c r="A355" t="inlineStr">
        <is>
          <t>S 2445-2024</t>
        </is>
      </c>
      <c r="B355" t="inlineStr">
        <is>
          <t>samrådsanmälan</t>
        </is>
      </c>
      <c r="C355" t="inlineStr">
        <is>
          <t>Annan skogsbruksåtgärd</t>
        </is>
      </c>
      <c r="D355" s="1" t="n">
        <v>45470</v>
      </c>
      <c r="E355" s="1" t="n">
        <v>46307</v>
      </c>
      <c r="F355" t="inlineStr">
        <is>
          <t>KRONOBERGS LÄN</t>
        </is>
      </c>
      <c r="G355" t="inlineStr">
        <is>
          <t>MARKARYD</t>
        </is>
      </c>
      <c r="I355" t="n">
        <v>0.2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s="2" t="inlineStr"/>
    </row>
    <row r="356" ht="15" customHeight="1">
      <c r="A356" t="inlineStr">
        <is>
          <t>S 704-2023</t>
        </is>
      </c>
      <c r="B356" t="inlineStr">
        <is>
          <t>samrådsanmälan</t>
        </is>
      </c>
      <c r="C356" t="inlineStr">
        <is>
          <t>Askåterföring</t>
        </is>
      </c>
      <c r="D356" s="1" t="n">
        <v>44978</v>
      </c>
      <c r="E356" s="1" t="n">
        <v>46307</v>
      </c>
      <c r="F356" t="inlineStr">
        <is>
          <t>KRONOBERGS LÄN</t>
        </is>
      </c>
      <c r="G356" t="inlineStr">
        <is>
          <t>MARKARYD</t>
        </is>
      </c>
      <c r="I356" t="n">
        <v>37.6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s="2" t="inlineStr"/>
    </row>
    <row r="357" ht="15" customHeight="1">
      <c r="A357" t="inlineStr">
        <is>
          <t>S 722-2025</t>
        </is>
      </c>
      <c r="B357" t="inlineStr">
        <is>
          <t>samrådsanmälan</t>
        </is>
      </c>
      <c r="C357" t="inlineStr">
        <is>
          <t>Askåterföring</t>
        </is>
      </c>
      <c r="D357" s="1" t="n">
        <v>45721</v>
      </c>
      <c r="E357" s="1" t="n">
        <v>46307</v>
      </c>
      <c r="F357" t="inlineStr">
        <is>
          <t>KRONOBERGS LÄN</t>
        </is>
      </c>
      <c r="G357" t="inlineStr">
        <is>
          <t>MARKARYD</t>
        </is>
      </c>
      <c r="I357" t="n">
        <v>14.6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s="2" t="inlineStr"/>
    </row>
    <row r="358" ht="15" customHeight="1">
      <c r="A358" t="inlineStr">
        <is>
          <t>S 1551-2025</t>
        </is>
      </c>
      <c r="B358" t="inlineStr">
        <is>
          <t>samrådsanmälan</t>
        </is>
      </c>
      <c r="C358" t="inlineStr">
        <is>
          <t>Askåterföring</t>
        </is>
      </c>
      <c r="D358" s="1" t="n">
        <v>45792</v>
      </c>
      <c r="E358" s="1" t="n">
        <v>46307</v>
      </c>
      <c r="F358" t="inlineStr">
        <is>
          <t>KRONOBERGS LÄN</t>
        </is>
      </c>
      <c r="G358" t="inlineStr">
        <is>
          <t>MARKARYD</t>
        </is>
      </c>
      <c r="I358" t="n">
        <v>21.5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s="2" t="inlineStr"/>
    </row>
    <row r="359" ht="15" customHeight="1">
      <c r="A359" t="inlineStr">
        <is>
          <t>S 1787-2025</t>
        </is>
      </c>
      <c r="B359" t="inlineStr">
        <is>
          <t>samrådsanmälan</t>
        </is>
      </c>
      <c r="C359" t="inlineStr">
        <is>
          <t>Annan skogsbruksåtgärd</t>
        </is>
      </c>
      <c r="D359" s="1" t="n">
        <v>45814</v>
      </c>
      <c r="E359" s="1" t="n">
        <v>46307</v>
      </c>
      <c r="F359" t="inlineStr">
        <is>
          <t>KRONOBERGS LÄN</t>
        </is>
      </c>
      <c r="G359" t="inlineStr">
        <is>
          <t>MARKARYD</t>
        </is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s="2" t="inlineStr"/>
    </row>
    <row r="360" ht="15" customHeight="1">
      <c r="A360" t="inlineStr">
        <is>
          <t>S 2299-2025</t>
        </is>
      </c>
      <c r="B360" t="inlineStr">
        <is>
          <t>samrådsanmälan</t>
        </is>
      </c>
      <c r="C360" t="inlineStr">
        <is>
          <t>Askåterföring</t>
        </is>
      </c>
      <c r="D360" s="1" t="n">
        <v>45880</v>
      </c>
      <c r="E360" s="1" t="n">
        <v>46307</v>
      </c>
      <c r="F360" t="inlineStr">
        <is>
          <t>KRONOBERGS LÄN</t>
        </is>
      </c>
      <c r="G360" t="inlineStr">
        <is>
          <t>MARKARYD</t>
        </is>
      </c>
      <c r="I360" t="n">
        <v>25.1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s="2" t="inlineStr"/>
    </row>
    <row r="361">
      <c r="A361" t="inlineStr">
        <is>
          <t>S 253-2026</t>
        </is>
      </c>
      <c r="B361" t="inlineStr">
        <is>
          <t>samrådsanmälan</t>
        </is>
      </c>
      <c r="C361" t="inlineStr">
        <is>
          <t>Annan skogsbruksåtgärd</t>
        </is>
      </c>
      <c r="D361" s="1" t="n">
        <v>46049</v>
      </c>
      <c r="E361" s="1" t="n">
        <v>46307</v>
      </c>
      <c r="F361" t="inlineStr">
        <is>
          <t>KRONOBERGS LÄN</t>
        </is>
      </c>
      <c r="G361" t="inlineStr">
        <is>
          <t>MARKARYD</t>
        </is>
      </c>
      <c r="I361" t="n">
        <v>2.1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2026-10-12T01:58:58Z</dcterms:created>
  <dcterms:modified xmlns:dcterms="http://purl.org/dc/terms/" xmlns:xsi="http://www.w3.org/2001/XMLSchema-instance" xsi:type="dcterms:W3CDTF">2026-10-12T01:58:59Z</dcterms:modified>
</cp:coreProperties>
</file>