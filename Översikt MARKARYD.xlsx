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46310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Tjäder</t>
        </is>
      </c>
      <c r="W9">
        <f>HYPERLINK("https://klasma.github.io/Logging_0767/artfynd/A 62519-2023 artfynd.xlsx", "A 62519-2023")</f>
        <v/>
      </c>
      <c r="X9">
        <f>HYPERLINK("https://klasma.github.io/Logging_0767/kartor/A 62519-2023 karta.png", "A 62519-2023")</f>
        <v/>
      </c>
      <c r="Y9">
        <f>HYPERLINK("https://klasma.github.io/Logging_0767/kartor_geotiff/A 62519-2023 georefererad karta.tif", "A 62519-2023")</f>
        <v/>
      </c>
      <c r="AA9">
        <f>HYPERLINK("https://klasma.github.io/Logging_0767/klagomål/A 62519-2023 FSC-klagomål.docx", "A 62519-2023")</f>
        <v/>
      </c>
      <c r="AB9">
        <f>HYPERLINK("https://klasma.github.io/Logging_0767/klagomålsmail/A 62519-2023 FSC-klagomål mail.docx", "A 62519-2023")</f>
        <v/>
      </c>
      <c r="AC9">
        <f>HYPERLINK("https://klasma.github.io/Logging_0767/tillsyn/A 62519-2023 tillsynsbegäran.docx", "A 62519-2023")</f>
        <v/>
      </c>
      <c r="AD9">
        <f>HYPERLINK("https://klasma.github.io/Logging_0767/tillsynsmail/A 62519-2023 tillsynsbegäran mail.docx", "A 62519-2023")</f>
        <v/>
      </c>
      <c r="AE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46310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46310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46310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23288-2024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45453</v>
      </c>
      <c r="E13" s="1" t="n">
        <v>46310</v>
      </c>
      <c r="F13" t="inlineStr">
        <is>
          <t>KRONOBERGS LÄN</t>
        </is>
      </c>
      <c r="G13" t="inlineStr">
        <is>
          <t>MARKARYD</t>
        </is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HYPERLINK("https://klasma.github.io/Logging_0767/artfynd/A 23288-2024 artfynd.xlsx", "A 23288-2024")</f>
        <v/>
      </c>
      <c r="X13">
        <f>HYPERLINK("https://klasma.github.io/Logging_0767/kartor/A 23288-2024 karta.png", "A 23288-2024")</f>
        <v/>
      </c>
      <c r="Y13">
        <f>HYPERLINK("https://klasma.github.io/Logging_0767/kartor_geotiff/A 23288-2024 georefererad karta.tif", "A 23288-2024")</f>
        <v/>
      </c>
      <c r="AA13">
        <f>HYPERLINK("https://klasma.github.io/Logging_0767/klagomål/A 23288-2024 FSC-klagomål.docx", "A 23288-2024")</f>
        <v/>
      </c>
      <c r="AB13">
        <f>HYPERLINK("https://klasma.github.io/Logging_0767/klagomålsmail/A 23288-2024 FSC-klagomål mail.docx", "A 23288-2024")</f>
        <v/>
      </c>
      <c r="AC13">
        <f>HYPERLINK("https://klasma.github.io/Logging_0767/tillsyn/A 23288-2024 tillsynsbegäran.docx", "A 23288-2024")</f>
        <v/>
      </c>
      <c r="AD13">
        <f>HYPERLINK("https://klasma.github.io/Logging_0767/tillsynsmail/A 23288-2024 tillsynsbegäran mail.docx", "A 23288-2024")</f>
        <v/>
      </c>
      <c r="AE13">
        <f>HYPERLINK("https://klasma.github.io/Logging_0767/fåglar/A 23288-2024 prioriterade fågelarter.docx", "A 23288-2024")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46310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46310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46310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46310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46310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46310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46310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46310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46310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46310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46310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46310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46310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46310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46310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46310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46310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46310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46310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23436-2025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45792</v>
      </c>
      <c r="E34" s="1" t="n">
        <v>46310</v>
      </c>
      <c r="F34" t="inlineStr">
        <is>
          <t>KRONOBERGS LÄN</t>
        </is>
      </c>
      <c r="G34" t="inlineStr">
        <is>
          <t>MARKARYD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46310</v>
      </c>
      <c r="F35" t="inlineStr">
        <is>
          <t>KRONOBERGS LÄN</t>
        </is>
      </c>
      <c r="G35" t="inlineStr">
        <is>
          <t>MARKARYD</t>
        </is>
      </c>
      <c r="H35" t="inlineStr">
        <is>
          <t>Övriga Aktiebolag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44837</v>
      </c>
      <c r="E36" s="1" t="n">
        <v>46310</v>
      </c>
      <c r="F36" t="inlineStr">
        <is>
          <t>KRONOBERGS LÄN</t>
        </is>
      </c>
      <c r="G36" t="inlineStr">
        <is>
          <t>MARKARYD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46310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46310</v>
      </c>
      <c r="F38" t="inlineStr">
        <is>
          <t>KRONOBERGS LÄN</t>
        </is>
      </c>
      <c r="G38" t="inlineStr">
        <is>
          <t>MARKARYD</t>
        </is>
      </c>
      <c r="H38" t="inlineStr">
        <is>
          <t>Kyrkan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46310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46310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46310</v>
      </c>
      <c r="F41" t="inlineStr">
        <is>
          <t>KRONOBERGS LÄN</t>
        </is>
      </c>
      <c r="G41" t="inlineStr">
        <is>
          <t>MARKARYD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46310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46310</v>
      </c>
      <c r="F43" t="inlineStr">
        <is>
          <t>KRONOBERGS LÄN</t>
        </is>
      </c>
      <c r="G43" t="inlineStr">
        <is>
          <t>MARKARYD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45670</v>
      </c>
      <c r="E44" s="1" t="n">
        <v>46310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45678</v>
      </c>
      <c r="E45" s="1" t="n">
        <v>46310</v>
      </c>
      <c r="F45" t="inlineStr">
        <is>
          <t>KRONOBERGS LÄN</t>
        </is>
      </c>
      <c r="G45" t="inlineStr">
        <is>
          <t>MARKARYD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45678</v>
      </c>
      <c r="E46" s="1" t="n">
        <v>46310</v>
      </c>
      <c r="F46" t="inlineStr">
        <is>
          <t>KRONOBERGS LÄN</t>
        </is>
      </c>
      <c r="G46" t="inlineStr">
        <is>
          <t>MARKARYD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45678</v>
      </c>
      <c r="E47" s="1" t="n">
        <v>46310</v>
      </c>
      <c r="F47" t="inlineStr">
        <is>
          <t>KRONOBERGS LÄN</t>
        </is>
      </c>
      <c r="G47" t="inlineStr">
        <is>
          <t>MARKARYD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71176-2021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46310</v>
      </c>
      <c r="F48" t="inlineStr">
        <is>
          <t>KRONOBERGS LÄN</t>
        </is>
      </c>
      <c r="G48" t="inlineStr">
        <is>
          <t>MARKARYD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46310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46310</v>
      </c>
      <c r="F50" t="inlineStr">
        <is>
          <t>KRONOBERGS LÄN</t>
        </is>
      </c>
      <c r="G50" t="inlineStr">
        <is>
          <t>MARKARYD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44587</v>
      </c>
      <c r="E51" s="1" t="n">
        <v>46310</v>
      </c>
      <c r="F51" t="inlineStr">
        <is>
          <t>KRONOBERGS LÄN</t>
        </is>
      </c>
      <c r="G51" t="inlineStr">
        <is>
          <t>MARKARYD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12868-2022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44642</v>
      </c>
      <c r="E52" s="1" t="n">
        <v>46310</v>
      </c>
      <c r="F52" t="inlineStr">
        <is>
          <t>KRONOBERGS LÄN</t>
        </is>
      </c>
      <c r="G52" t="inlineStr">
        <is>
          <t>MARKARYD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44572</v>
      </c>
      <c r="E53" s="1" t="n">
        <v>46310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46310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46310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46310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46310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46310</v>
      </c>
      <c r="F58" t="inlineStr">
        <is>
          <t>KRONOBERGS LÄN</t>
        </is>
      </c>
      <c r="G58" t="inlineStr">
        <is>
          <t>MARKARYD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45119</v>
      </c>
      <c r="E59" s="1" t="n">
        <v>46310</v>
      </c>
      <c r="F59" t="inlineStr">
        <is>
          <t>KRONOBERGS LÄN</t>
        </is>
      </c>
      <c r="G59" t="inlineStr">
        <is>
          <t>MARKARYD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45524</v>
      </c>
      <c r="E60" s="1" t="n">
        <v>46310</v>
      </c>
      <c r="F60" t="inlineStr">
        <is>
          <t>KRONOBERGS LÄN</t>
        </is>
      </c>
      <c r="G60" t="inlineStr">
        <is>
          <t>MARKARYD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55206-2023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46310</v>
      </c>
      <c r="F61" t="inlineStr">
        <is>
          <t>KRONOBERGS LÄN</t>
        </is>
      </c>
      <c r="G61" t="inlineStr">
        <is>
          <t>MARKARYD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46310</v>
      </c>
      <c r="F62" t="inlineStr">
        <is>
          <t>KRONOBERGS LÄN</t>
        </is>
      </c>
      <c r="G62" t="inlineStr">
        <is>
          <t>MARKARYD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46310</v>
      </c>
      <c r="F63" t="inlineStr">
        <is>
          <t>KRONOBERGS LÄN</t>
        </is>
      </c>
      <c r="G63" t="inlineStr">
        <is>
          <t>MARKARYD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46310</v>
      </c>
      <c r="F64" t="inlineStr">
        <is>
          <t>KRONOBERGS LÄN</t>
        </is>
      </c>
      <c r="G64" t="inlineStr">
        <is>
          <t>MARKARYD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46310</v>
      </c>
      <c r="F65" t="inlineStr">
        <is>
          <t>KRONOBERGS LÄN</t>
        </is>
      </c>
      <c r="G65" t="inlineStr">
        <is>
          <t>MARKARYD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46310</v>
      </c>
      <c r="F66" t="inlineStr">
        <is>
          <t>KRONOBERGS LÄN</t>
        </is>
      </c>
      <c r="G66" t="inlineStr">
        <is>
          <t>MARKARYD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46310</v>
      </c>
      <c r="F67" t="inlineStr">
        <is>
          <t>KRONOBERGS LÄN</t>
        </is>
      </c>
      <c r="G67" t="inlineStr">
        <is>
          <t>MARKARYD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45418</v>
      </c>
      <c r="E68" s="1" t="n">
        <v>46310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46310</v>
      </c>
      <c r="F69" t="inlineStr">
        <is>
          <t>KRONOBERGS LÄN</t>
        </is>
      </c>
      <c r="G69" t="inlineStr">
        <is>
          <t>MARKARYD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44911</v>
      </c>
      <c r="E70" s="1" t="n">
        <v>46310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44839</v>
      </c>
      <c r="E71" s="1" t="n">
        <v>46310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46310</v>
      </c>
      <c r="F72" t="inlineStr">
        <is>
          <t>KRONOBERGS LÄN</t>
        </is>
      </c>
      <c r="G72" t="inlineStr">
        <is>
          <t>MARKARYD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46310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44935</v>
      </c>
      <c r="E74" s="1" t="n">
        <v>46310</v>
      </c>
      <c r="F74" t="inlineStr">
        <is>
          <t>KRONOBERGS LÄN</t>
        </is>
      </c>
      <c r="G74" t="inlineStr">
        <is>
          <t>MARKARYD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46310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27365-2024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45473</v>
      </c>
      <c r="E76" s="1" t="n">
        <v>46310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46310</v>
      </c>
      <c r="F77" t="inlineStr">
        <is>
          <t>KRONOBERGS LÄN</t>
        </is>
      </c>
      <c r="G77" t="inlineStr">
        <is>
          <t>MARKARYD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45842</v>
      </c>
      <c r="E78" s="1" t="n">
        <v>46310</v>
      </c>
      <c r="F78" t="inlineStr">
        <is>
          <t>KRONOBERGS LÄN</t>
        </is>
      </c>
      <c r="G78" t="inlineStr">
        <is>
          <t>MARKARYD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33821-2025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45842</v>
      </c>
      <c r="E79" s="1" t="n">
        <v>46310</v>
      </c>
      <c r="F79" t="inlineStr">
        <is>
          <t>KRONOBERGS LÄN</t>
        </is>
      </c>
      <c r="G79" t="inlineStr">
        <is>
          <t>MARKARYD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46310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46310</v>
      </c>
      <c r="F81" t="inlineStr">
        <is>
          <t>KRONOBERGS LÄN</t>
        </is>
      </c>
      <c r="G81" t="inlineStr">
        <is>
          <t>MARKARYD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46310</v>
      </c>
      <c r="F82" t="inlineStr">
        <is>
          <t>KRONOBERGS LÄN</t>
        </is>
      </c>
      <c r="G82" t="inlineStr">
        <is>
          <t>MARKARYD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8501-2023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44977</v>
      </c>
      <c r="E83" s="1" t="n">
        <v>46310</v>
      </c>
      <c r="F83" t="inlineStr">
        <is>
          <t>KRONOBERGS LÄN</t>
        </is>
      </c>
      <c r="G83" t="inlineStr">
        <is>
          <t>MARKARYD</t>
        </is>
      </c>
      <c r="I83" t="n">
        <v>20.7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46310</v>
      </c>
      <c r="F84" t="inlineStr">
        <is>
          <t>KRONOBERGS LÄN</t>
        </is>
      </c>
      <c r="G84" t="inlineStr">
        <is>
          <t>MARKARYD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8494-2023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44977</v>
      </c>
      <c r="E85" s="1" t="n">
        <v>46310</v>
      </c>
      <c r="F85" t="inlineStr">
        <is>
          <t>KRONOBERGS LÄN</t>
        </is>
      </c>
      <c r="G85" t="inlineStr">
        <is>
          <t>MARKARYD</t>
        </is>
      </c>
      <c r="I85" t="n">
        <v>13.6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46310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46310</v>
      </c>
      <c r="F87" t="inlineStr">
        <is>
          <t>KRONOBERGS LÄN</t>
        </is>
      </c>
      <c r="G87" t="inlineStr">
        <is>
          <t>MARKARYD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46310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46310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46310</v>
      </c>
      <c r="F90" t="inlineStr">
        <is>
          <t>KRONOBERGS LÄN</t>
        </is>
      </c>
      <c r="G90" t="inlineStr">
        <is>
          <t>MARKARYD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46310</v>
      </c>
      <c r="F91" t="inlineStr">
        <is>
          <t>KRONOBERGS LÄN</t>
        </is>
      </c>
      <c r="G91" t="inlineStr">
        <is>
          <t>MARKARYD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46310</v>
      </c>
      <c r="F92" t="inlineStr">
        <is>
          <t>KRONOBERGS LÄN</t>
        </is>
      </c>
      <c r="G92" t="inlineStr">
        <is>
          <t>MARKARYD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46310</v>
      </c>
      <c r="F93" t="inlineStr">
        <is>
          <t>KRONOBERGS LÄN</t>
        </is>
      </c>
      <c r="G93" t="inlineStr">
        <is>
          <t>MARKARYD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46310</v>
      </c>
      <c r="F94" t="inlineStr">
        <is>
          <t>KRONOBERGS LÄN</t>
        </is>
      </c>
      <c r="G94" t="inlineStr">
        <is>
          <t>MARKARYD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38005-2025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45882</v>
      </c>
      <c r="E95" s="1" t="n">
        <v>46310</v>
      </c>
      <c r="F95" t="inlineStr">
        <is>
          <t>KRONOBERGS LÄN</t>
        </is>
      </c>
      <c r="G95" t="inlineStr">
        <is>
          <t>MARKARYD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46310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46310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46310</v>
      </c>
      <c r="F98" t="inlineStr">
        <is>
          <t>KRONOBERGS LÄN</t>
        </is>
      </c>
      <c r="G98" t="inlineStr">
        <is>
          <t>MARKARYD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44673</v>
      </c>
      <c r="E99" s="1" t="n">
        <v>46310</v>
      </c>
      <c r="F99" t="inlineStr">
        <is>
          <t>KRONOBERGS LÄN</t>
        </is>
      </c>
      <c r="G99" t="inlineStr">
        <is>
          <t>MARKARYD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44673</v>
      </c>
      <c r="E100" s="1" t="n">
        <v>46310</v>
      </c>
      <c r="F100" t="inlineStr">
        <is>
          <t>KRONOBERGS LÄN</t>
        </is>
      </c>
      <c r="G100" t="inlineStr">
        <is>
          <t>MARKARYD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19233-2025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46310</v>
      </c>
      <c r="F101" t="inlineStr">
        <is>
          <t>KRONOBERGS LÄN</t>
        </is>
      </c>
      <c r="G101" t="inlineStr">
        <is>
          <t>MARKARYD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46310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46310</v>
      </c>
      <c r="F103" t="inlineStr">
        <is>
          <t>KRONOBERGS LÄN</t>
        </is>
      </c>
      <c r="G103" t="inlineStr">
        <is>
          <t>MARKARYD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46310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46310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45880</v>
      </c>
      <c r="E106" s="1" t="n">
        <v>46310</v>
      </c>
      <c r="F106" t="inlineStr">
        <is>
          <t>KRONOBERGS LÄN</t>
        </is>
      </c>
      <c r="G106" t="inlineStr">
        <is>
          <t>MARKARYD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46310</v>
      </c>
      <c r="F107" t="inlineStr">
        <is>
          <t>KRONOBERGS LÄN</t>
        </is>
      </c>
      <c r="G107" t="inlineStr">
        <is>
          <t>MARKARYD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46310</v>
      </c>
      <c r="F108" t="inlineStr">
        <is>
          <t>KRONOBERGS LÄN</t>
        </is>
      </c>
      <c r="G108" t="inlineStr">
        <is>
          <t>MARKARYD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45663</v>
      </c>
      <c r="E109" s="1" t="n">
        <v>46310</v>
      </c>
      <c r="F109" t="inlineStr">
        <is>
          <t>KRONOBERGS LÄN</t>
        </is>
      </c>
      <c r="G109" t="inlineStr">
        <is>
          <t>MARKARYD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45329</v>
      </c>
      <c r="E110" s="1" t="n">
        <v>46310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46310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46310</v>
      </c>
      <c r="F112" t="inlineStr">
        <is>
          <t>KRONOBERGS LÄN</t>
        </is>
      </c>
      <c r="G112" t="inlineStr">
        <is>
          <t>MARKARYD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45225</v>
      </c>
      <c r="E113" s="1" t="n">
        <v>46310</v>
      </c>
      <c r="F113" t="inlineStr">
        <is>
          <t>KRONOBERGS LÄN</t>
        </is>
      </c>
      <c r="G113" t="inlineStr">
        <is>
          <t>MARKARYD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46310</v>
      </c>
      <c r="F114" t="inlineStr">
        <is>
          <t>KRONOBERGS LÄN</t>
        </is>
      </c>
      <c r="G114" t="inlineStr">
        <is>
          <t>MARKARYD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46310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46310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46310</v>
      </c>
      <c r="F117" t="inlineStr">
        <is>
          <t>KRONOBERGS LÄN</t>
        </is>
      </c>
      <c r="G117" t="inlineStr">
        <is>
          <t>MARKARYD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46310</v>
      </c>
      <c r="F118" t="inlineStr">
        <is>
          <t>KRONOBERGS LÄN</t>
        </is>
      </c>
      <c r="G118" t="inlineStr">
        <is>
          <t>MARKARYD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44601</v>
      </c>
      <c r="E119" s="1" t="n">
        <v>46310</v>
      </c>
      <c r="F119" t="inlineStr">
        <is>
          <t>KRONOBERGS LÄN</t>
        </is>
      </c>
      <c r="G119" t="inlineStr">
        <is>
          <t>MARKARYD</t>
        </is>
      </c>
      <c r="H119" t="inlineStr">
        <is>
          <t>Kommuner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46310</v>
      </c>
      <c r="F120" t="inlineStr">
        <is>
          <t>KRONOBERGS LÄN</t>
        </is>
      </c>
      <c r="G120" t="inlineStr">
        <is>
          <t>MARKARYD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46310</v>
      </c>
      <c r="F121" t="inlineStr">
        <is>
          <t>KRONOBERGS LÄN</t>
        </is>
      </c>
      <c r="G121" t="inlineStr">
        <is>
          <t>MARKARYD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46310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46069</v>
      </c>
      <c r="E123" s="1" t="n">
        <v>46310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46310</v>
      </c>
      <c r="F124" t="inlineStr">
        <is>
          <t>KRONOBERGS LÄN</t>
        </is>
      </c>
      <c r="G124" t="inlineStr">
        <is>
          <t>MARKARYD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44988</v>
      </c>
      <c r="E125" s="1" t="n">
        <v>46310</v>
      </c>
      <c r="F125" t="inlineStr">
        <is>
          <t>KRONOBERGS LÄN</t>
        </is>
      </c>
      <c r="G125" t="inlineStr">
        <is>
          <t>MARKARYD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46069</v>
      </c>
      <c r="E126" s="1" t="n">
        <v>46310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46310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9066-2026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46310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9061-2026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46310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46310</v>
      </c>
      <c r="F130" t="inlineStr">
        <is>
          <t>KRONOBERGS LÄN</t>
        </is>
      </c>
      <c r="G130" t="inlineStr">
        <is>
          <t>MARKARYD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45942</v>
      </c>
      <c r="E131" s="1" t="n">
        <v>46310</v>
      </c>
      <c r="F131" t="inlineStr">
        <is>
          <t>KRONOBERGS LÄN</t>
        </is>
      </c>
      <c r="G131" t="inlineStr">
        <is>
          <t>MARKARYD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46310</v>
      </c>
      <c r="F132" t="inlineStr">
        <is>
          <t>KRONOBERGS LÄN</t>
        </is>
      </c>
      <c r="G132" t="inlineStr">
        <is>
          <t>MARKARYD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46310</v>
      </c>
      <c r="F133" t="inlineStr">
        <is>
          <t>KRONOBERGS LÄN</t>
        </is>
      </c>
      <c r="G133" t="inlineStr">
        <is>
          <t>MARKARYD</t>
        </is>
      </c>
      <c r="H133" t="inlineStr">
        <is>
          <t>Kyrkan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46310</v>
      </c>
      <c r="F134" t="inlineStr">
        <is>
          <t>KRONOBERGS LÄN</t>
        </is>
      </c>
      <c r="G134" t="inlineStr">
        <is>
          <t>MARKARYD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45426</v>
      </c>
      <c r="E135" s="1" t="n">
        <v>46310</v>
      </c>
      <c r="F135" t="inlineStr">
        <is>
          <t>KRONOBERGS LÄN</t>
        </is>
      </c>
      <c r="G135" t="inlineStr">
        <is>
          <t>MARKARYD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44970</v>
      </c>
      <c r="E136" s="1" t="n">
        <v>46310</v>
      </c>
      <c r="F136" t="inlineStr">
        <is>
          <t>KRONOBERGS LÄN</t>
        </is>
      </c>
      <c r="G136" t="inlineStr">
        <is>
          <t>MARKARYD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44557</v>
      </c>
      <c r="E137" s="1" t="n">
        <v>46310</v>
      </c>
      <c r="F137" t="inlineStr">
        <is>
          <t>KRONOBERGS LÄN</t>
        </is>
      </c>
      <c r="G137" t="inlineStr">
        <is>
          <t>MARKARYD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46310</v>
      </c>
      <c r="F138" t="inlineStr">
        <is>
          <t>KRONOBERGS LÄN</t>
        </is>
      </c>
      <c r="G138" t="inlineStr">
        <is>
          <t>MARKARYD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46310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46310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46085</v>
      </c>
      <c r="E141" s="1" t="n">
        <v>46310</v>
      </c>
      <c r="F141" t="inlineStr">
        <is>
          <t>KRONOBERGS LÄN</t>
        </is>
      </c>
      <c r="G141" t="inlineStr">
        <is>
          <t>MARKARYD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46085</v>
      </c>
      <c r="E142" s="1" t="n">
        <v>46310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46310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46310</v>
      </c>
      <c r="F144" t="inlineStr">
        <is>
          <t>KRONOBERGS LÄN</t>
        </is>
      </c>
      <c r="G144" t="inlineStr">
        <is>
          <t>MARKARYD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46310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46310</v>
      </c>
      <c r="F146" t="inlineStr">
        <is>
          <t>KRONOBERGS LÄN</t>
        </is>
      </c>
      <c r="G146" t="inlineStr">
        <is>
          <t>MARKARYD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46310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46090</v>
      </c>
      <c r="E148" s="1" t="n">
        <v>46310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46090</v>
      </c>
      <c r="E149" s="1" t="n">
        <v>46310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46310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46310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45141</v>
      </c>
      <c r="E152" s="1" t="n">
        <v>46310</v>
      </c>
      <c r="F152" t="inlineStr">
        <is>
          <t>KRONOBERGS LÄN</t>
        </is>
      </c>
      <c r="G152" t="inlineStr">
        <is>
          <t>MARKARYD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46310</v>
      </c>
      <c r="F153" t="inlineStr">
        <is>
          <t>KRONOBERGS LÄN</t>
        </is>
      </c>
      <c r="G153" t="inlineStr">
        <is>
          <t>MARKARYD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46310</v>
      </c>
      <c r="F154" t="inlineStr">
        <is>
          <t>KRONOBERGS LÄN</t>
        </is>
      </c>
      <c r="G154" t="inlineStr">
        <is>
          <t>MARKARYD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46310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46310</v>
      </c>
      <c r="F156" t="inlineStr">
        <is>
          <t>KRONOBERGS LÄN</t>
        </is>
      </c>
      <c r="G156" t="inlineStr">
        <is>
          <t>MARKARYD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46310</v>
      </c>
      <c r="F157" t="inlineStr">
        <is>
          <t>KRONOBERGS LÄN</t>
        </is>
      </c>
      <c r="G157" t="inlineStr">
        <is>
          <t>MARKARYD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46310</v>
      </c>
      <c r="F158" t="inlineStr">
        <is>
          <t>KRONOBERGS LÄN</t>
        </is>
      </c>
      <c r="G158" t="inlineStr">
        <is>
          <t>MARKARYD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45181</v>
      </c>
      <c r="E159" s="1" t="n">
        <v>46310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46310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45008</v>
      </c>
      <c r="E161" s="1" t="n">
        <v>46310</v>
      </c>
      <c r="F161" t="inlineStr">
        <is>
          <t>KRONOBERGS LÄN</t>
        </is>
      </c>
      <c r="G161" t="inlineStr">
        <is>
          <t>MARKARYD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46310</v>
      </c>
      <c r="F162" t="inlineStr">
        <is>
          <t>KRONOBERGS LÄN</t>
        </is>
      </c>
      <c r="G162" t="inlineStr">
        <is>
          <t>MARKARYD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11781-2023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44994</v>
      </c>
      <c r="E163" s="1" t="n">
        <v>46310</v>
      </c>
      <c r="F163" t="inlineStr">
        <is>
          <t>KRONOBERGS LÄN</t>
        </is>
      </c>
      <c r="G163" t="inlineStr">
        <is>
          <t>MARKARYD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12343-2024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45378</v>
      </c>
      <c r="E164" s="1" t="n">
        <v>46310</v>
      </c>
      <c r="F164" t="inlineStr">
        <is>
          <t>KRONOBERGS LÄN</t>
        </is>
      </c>
      <c r="G164" t="inlineStr">
        <is>
          <t>MARKARYD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46310</v>
      </c>
      <c r="F165" t="inlineStr">
        <is>
          <t>KRONOBERGS LÄN</t>
        </is>
      </c>
      <c r="G165" t="inlineStr">
        <is>
          <t>MARKARYD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46310</v>
      </c>
      <c r="F166" t="inlineStr">
        <is>
          <t>KRONOBERGS LÄN</t>
        </is>
      </c>
      <c r="G166" t="inlineStr">
        <is>
          <t>MARKARYD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70327-2021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46310</v>
      </c>
      <c r="F167" t="inlineStr">
        <is>
          <t>KRONOBERGS LÄN</t>
        </is>
      </c>
      <c r="G167" t="inlineStr">
        <is>
          <t>MARKARYD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46310</v>
      </c>
      <c r="F168" t="inlineStr">
        <is>
          <t>KRONOBERGS LÄN</t>
        </is>
      </c>
      <c r="G168" t="inlineStr">
        <is>
          <t>MARKARYD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45352</v>
      </c>
      <c r="E169" s="1" t="n">
        <v>46310</v>
      </c>
      <c r="F169" t="inlineStr">
        <is>
          <t>KRONOBERGS LÄN</t>
        </is>
      </c>
      <c r="G169" t="inlineStr">
        <is>
          <t>MARKARYD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25621-2023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45089</v>
      </c>
      <c r="E170" s="1" t="n">
        <v>46310</v>
      </c>
      <c r="F170" t="inlineStr">
        <is>
          <t>KRONOBERGS LÄN</t>
        </is>
      </c>
      <c r="G170" t="inlineStr">
        <is>
          <t>MARKARYD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46310</v>
      </c>
      <c r="F171" t="inlineStr">
        <is>
          <t>KRONOBERGS LÄN</t>
        </is>
      </c>
      <c r="G171" t="inlineStr">
        <is>
          <t>MARKARYD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44911</v>
      </c>
      <c r="E172" s="1" t="n">
        <v>46310</v>
      </c>
      <c r="F172" t="inlineStr">
        <is>
          <t>KRONOBERGS LÄN</t>
        </is>
      </c>
      <c r="G172" t="inlineStr">
        <is>
          <t>MARKARYD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46310</v>
      </c>
      <c r="F173" t="inlineStr">
        <is>
          <t>KRONOBERGS LÄN</t>
        </is>
      </c>
      <c r="G173" t="inlineStr">
        <is>
          <t>MARKARYD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46310</v>
      </c>
      <c r="F174" t="inlineStr">
        <is>
          <t>KRONOBERGS LÄN</t>
        </is>
      </c>
      <c r="G174" t="inlineStr">
        <is>
          <t>MARKARYD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44644</v>
      </c>
      <c r="E175" s="1" t="n">
        <v>46310</v>
      </c>
      <c r="F175" t="inlineStr">
        <is>
          <t>KRONOBERGS LÄN</t>
        </is>
      </c>
      <c r="G175" t="inlineStr">
        <is>
          <t>MARKARYD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46310</v>
      </c>
      <c r="F176" t="inlineStr">
        <is>
          <t>KRONOBERGS LÄN</t>
        </is>
      </c>
      <c r="G176" t="inlineStr">
        <is>
          <t>MARKARYD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45564</v>
      </c>
      <c r="E177" s="1" t="n">
        <v>46310</v>
      </c>
      <c r="F177" t="inlineStr">
        <is>
          <t>KRONOBERGS LÄN</t>
        </is>
      </c>
      <c r="G177" t="inlineStr">
        <is>
          <t>MARKARYD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46310</v>
      </c>
      <c r="F178" t="inlineStr">
        <is>
          <t>KRONOBERGS LÄN</t>
        </is>
      </c>
      <c r="G178" t="inlineStr">
        <is>
          <t>MARKARYD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46310</v>
      </c>
      <c r="F179" t="inlineStr">
        <is>
          <t>KRONOBERGS LÄN</t>
        </is>
      </c>
      <c r="G179" t="inlineStr">
        <is>
          <t>MARKARYD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46310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46310</v>
      </c>
      <c r="F181" t="inlineStr">
        <is>
          <t>KRONOBERGS LÄN</t>
        </is>
      </c>
      <c r="G181" t="inlineStr">
        <is>
          <t>MARKARYD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46310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45556</v>
      </c>
      <c r="E183" s="1" t="n">
        <v>46310</v>
      </c>
      <c r="F183" t="inlineStr">
        <is>
          <t>KRONOBERGS LÄN</t>
        </is>
      </c>
      <c r="G183" t="inlineStr">
        <is>
          <t>MARKARYD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46310</v>
      </c>
      <c r="F184" t="inlineStr">
        <is>
          <t>KRONOBERGS LÄN</t>
        </is>
      </c>
      <c r="G184" t="inlineStr">
        <is>
          <t>MARKARYD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46310</v>
      </c>
      <c r="F185" t="inlineStr">
        <is>
          <t>KRONOBERGS LÄN</t>
        </is>
      </c>
      <c r="G185" t="inlineStr">
        <is>
          <t>MARKARYD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46310</v>
      </c>
      <c r="F186" t="inlineStr">
        <is>
          <t>KRONOBERGS LÄN</t>
        </is>
      </c>
      <c r="G186" t="inlineStr">
        <is>
          <t>MARKARYD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46310</v>
      </c>
      <c r="F187" t="inlineStr">
        <is>
          <t>KRONOBERGS LÄN</t>
        </is>
      </c>
      <c r="G187" t="inlineStr">
        <is>
          <t>MARKARYD</t>
        </is>
      </c>
      <c r="H187" t="inlineStr">
        <is>
          <t>Kyrkan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46310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46310</v>
      </c>
      <c r="F189" t="inlineStr">
        <is>
          <t>KRONOBERGS LÄN</t>
        </is>
      </c>
      <c r="G189" t="inlineStr">
        <is>
          <t>MARKARYD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46034</v>
      </c>
      <c r="E190" s="1" t="n">
        <v>46310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44798</v>
      </c>
      <c r="E191" s="1" t="n">
        <v>46310</v>
      </c>
      <c r="F191" t="inlineStr">
        <is>
          <t>KRONOBERGS LÄN</t>
        </is>
      </c>
      <c r="G191" t="inlineStr">
        <is>
          <t>MARKARYD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46310</v>
      </c>
      <c r="F192" t="inlineStr">
        <is>
          <t>KRONOBERGS LÄN</t>
        </is>
      </c>
      <c r="G192" t="inlineStr">
        <is>
          <t>MARKARYD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46310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46310</v>
      </c>
      <c r="F194" t="inlineStr">
        <is>
          <t>KRONOBERGS LÄN</t>
        </is>
      </c>
      <c r="G194" t="inlineStr">
        <is>
          <t>MARKARYD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46310</v>
      </c>
      <c r="F195" t="inlineStr">
        <is>
          <t>KRONOBERGS LÄN</t>
        </is>
      </c>
      <c r="G195" t="inlineStr">
        <is>
          <t>MARKARYD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45428</v>
      </c>
      <c r="E196" s="1" t="n">
        <v>46310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64507-2023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46310</v>
      </c>
      <c r="F197" t="inlineStr">
        <is>
          <t>KRONOBERGS LÄN</t>
        </is>
      </c>
      <c r="G197" t="inlineStr">
        <is>
          <t>MARKARYD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46310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46310</v>
      </c>
      <c r="F199" t="inlineStr">
        <is>
          <t>KRONOBERGS LÄN</t>
        </is>
      </c>
      <c r="G199" t="inlineStr">
        <is>
          <t>MARKARYD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46310</v>
      </c>
      <c r="F200" t="inlineStr">
        <is>
          <t>KRONOBERGS LÄN</t>
        </is>
      </c>
      <c r="G200" t="inlineStr">
        <is>
          <t>MARKARYD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46310</v>
      </c>
      <c r="F201" t="inlineStr">
        <is>
          <t>KRONOBERGS LÄN</t>
        </is>
      </c>
      <c r="G201" t="inlineStr">
        <is>
          <t>MARKARYD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46310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44902</v>
      </c>
      <c r="E203" s="1" t="n">
        <v>46310</v>
      </c>
      <c r="F203" t="inlineStr">
        <is>
          <t>KRONOBERGS LÄN</t>
        </is>
      </c>
      <c r="G203" t="inlineStr">
        <is>
          <t>MARKARYD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44516</v>
      </c>
      <c r="E204" s="1" t="n">
        <v>46310</v>
      </c>
      <c r="F204" t="inlineStr">
        <is>
          <t>KRONOBERGS LÄN</t>
        </is>
      </c>
      <c r="G204" t="inlineStr">
        <is>
          <t>MARKARYD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44677</v>
      </c>
      <c r="E205" s="1" t="n">
        <v>46310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46310</v>
      </c>
      <c r="F206" t="inlineStr">
        <is>
          <t>KRONOBERGS LÄN</t>
        </is>
      </c>
      <c r="G206" t="inlineStr">
        <is>
          <t>MARKARYD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46310</v>
      </c>
      <c r="F207" t="inlineStr">
        <is>
          <t>KRONOBERGS LÄN</t>
        </is>
      </c>
      <c r="G207" t="inlineStr">
        <is>
          <t>MARKARYD</t>
        </is>
      </c>
      <c r="I207" t="n">
        <v>16.3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46310</v>
      </c>
      <c r="F208" t="inlineStr">
        <is>
          <t>KRONOBERGS LÄN</t>
        </is>
      </c>
      <c r="G208" t="inlineStr">
        <is>
          <t>MARKARYD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44956</v>
      </c>
      <c r="E209" s="1" t="n">
        <v>46310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46310</v>
      </c>
      <c r="F210" t="inlineStr">
        <is>
          <t>KRONOBERGS LÄN</t>
        </is>
      </c>
      <c r="G210" t="inlineStr">
        <is>
          <t>MARKARYD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45209</v>
      </c>
      <c r="E211" s="1" t="n">
        <v>46310</v>
      </c>
      <c r="F211" t="inlineStr">
        <is>
          <t>KRONOBERGS LÄN</t>
        </is>
      </c>
      <c r="G211" t="inlineStr">
        <is>
          <t>MARKARYD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44958</v>
      </c>
      <c r="E212" s="1" t="n">
        <v>46310</v>
      </c>
      <c r="F212" t="inlineStr">
        <is>
          <t>KRONOBERGS LÄN</t>
        </is>
      </c>
      <c r="G212" t="inlineStr">
        <is>
          <t>MARKARYD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46310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46310</v>
      </c>
      <c r="F214" t="inlineStr">
        <is>
          <t>KRONOBERGS LÄN</t>
        </is>
      </c>
      <c r="G214" t="inlineStr">
        <is>
          <t>MARKARYD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46310</v>
      </c>
      <c r="F215" t="inlineStr">
        <is>
          <t>KRONOBERGS LÄN</t>
        </is>
      </c>
      <c r="G215" t="inlineStr">
        <is>
          <t>MARKARYD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46310</v>
      </c>
      <c r="F216" t="inlineStr">
        <is>
          <t>KRONOBERGS LÄN</t>
        </is>
      </c>
      <c r="G216" t="inlineStr">
        <is>
          <t>MARKARYD</t>
        </is>
      </c>
      <c r="I216" t="n">
        <v>13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46310</v>
      </c>
      <c r="F217" t="inlineStr">
        <is>
          <t>KRONOBERGS LÄN</t>
        </is>
      </c>
      <c r="G217" t="inlineStr">
        <is>
          <t>MARKARYD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46310</v>
      </c>
      <c r="F218" t="inlineStr">
        <is>
          <t>KRONOBERGS LÄN</t>
        </is>
      </c>
      <c r="G218" t="inlineStr">
        <is>
          <t>MARKARYD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46310</v>
      </c>
      <c r="F219" t="inlineStr">
        <is>
          <t>KRONOBERGS LÄN</t>
        </is>
      </c>
      <c r="G219" t="inlineStr">
        <is>
          <t>MARKARYD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45678</v>
      </c>
      <c r="E220" s="1" t="n">
        <v>46310</v>
      </c>
      <c r="F220" t="inlineStr">
        <is>
          <t>KRONOBERGS LÄN</t>
        </is>
      </c>
      <c r="G220" t="inlineStr">
        <is>
          <t>MARKARYD</t>
        </is>
      </c>
      <c r="I220" t="n">
        <v>7.8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45678</v>
      </c>
      <c r="E221" s="1" t="n">
        <v>46310</v>
      </c>
      <c r="F221" t="inlineStr">
        <is>
          <t>KRONOBERGS LÄN</t>
        </is>
      </c>
      <c r="G221" t="inlineStr">
        <is>
          <t>MARKARYD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46310</v>
      </c>
      <c r="F222" t="inlineStr">
        <is>
          <t>KRONOBERGS LÄN</t>
        </is>
      </c>
      <c r="G222" t="inlineStr">
        <is>
          <t>MARKARYD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45558</v>
      </c>
      <c r="E223" s="1" t="n">
        <v>46310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44835</v>
      </c>
      <c r="E224" s="1" t="n">
        <v>46310</v>
      </c>
      <c r="F224" t="inlineStr">
        <is>
          <t>KRONOBERGS LÄN</t>
        </is>
      </c>
      <c r="G224" t="inlineStr">
        <is>
          <t>MARKARYD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46310</v>
      </c>
      <c r="F225" t="inlineStr">
        <is>
          <t>KRONOBERGS LÄN</t>
        </is>
      </c>
      <c r="G225" t="inlineStr">
        <is>
          <t>MARKARYD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46310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45837</v>
      </c>
      <c r="E227" s="1" t="n">
        <v>46310</v>
      </c>
      <c r="F227" t="inlineStr">
        <is>
          <t>KRONOBERGS LÄN</t>
        </is>
      </c>
      <c r="G227" t="inlineStr">
        <is>
          <t>MARKARYD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46310</v>
      </c>
      <c r="F228" t="inlineStr">
        <is>
          <t>KRONOBERGS LÄN</t>
        </is>
      </c>
      <c r="G228" t="inlineStr">
        <is>
          <t>MARKARYD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46310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45428</v>
      </c>
      <c r="E230" s="1" t="n">
        <v>46310</v>
      </c>
      <c r="F230" t="inlineStr">
        <is>
          <t>KRONOBERGS LÄN</t>
        </is>
      </c>
      <c r="G230" t="inlineStr">
        <is>
          <t>MARKARYD</t>
        </is>
      </c>
      <c r="H230" t="inlineStr">
        <is>
          <t>Kyrkan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46310</v>
      </c>
      <c r="F231" t="inlineStr">
        <is>
          <t>KRONOBERGS LÄN</t>
        </is>
      </c>
      <c r="G231" t="inlineStr">
        <is>
          <t>MARKARYD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46310</v>
      </c>
      <c r="F232" t="inlineStr">
        <is>
          <t>KRONOBERGS LÄN</t>
        </is>
      </c>
      <c r="G232" t="inlineStr">
        <is>
          <t>MARKARYD</t>
        </is>
      </c>
      <c r="H232" t="inlineStr">
        <is>
          <t>Övriga Aktiebolag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46310</v>
      </c>
      <c r="F233" t="inlineStr">
        <is>
          <t>KRONOBERGS LÄN</t>
        </is>
      </c>
      <c r="G233" t="inlineStr">
        <is>
          <t>MARKARYD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46310</v>
      </c>
      <c r="F234" t="inlineStr">
        <is>
          <t>KRONOBERGS LÄN</t>
        </is>
      </c>
      <c r="G234" t="inlineStr">
        <is>
          <t>MARKARYD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46168</v>
      </c>
      <c r="E235" s="1" t="n">
        <v>46310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40586-2022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46310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45155</v>
      </c>
      <c r="E237" s="1" t="n">
        <v>46310</v>
      </c>
      <c r="F237" t="inlineStr">
        <is>
          <t>KRONOBERGS LÄN</t>
        </is>
      </c>
      <c r="G237" t="inlineStr">
        <is>
          <t>MARKARYD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44999</v>
      </c>
      <c r="E238" s="1" t="n">
        <v>46310</v>
      </c>
      <c r="F238" t="inlineStr">
        <is>
          <t>KRONOBERGS LÄN</t>
        </is>
      </c>
      <c r="G238" t="inlineStr">
        <is>
          <t>MARKARYD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44579</v>
      </c>
      <c r="E239" s="1" t="n">
        <v>46310</v>
      </c>
      <c r="F239" t="inlineStr">
        <is>
          <t>KRONOBERGS LÄN</t>
        </is>
      </c>
      <c r="G239" t="inlineStr">
        <is>
          <t>MARKARYD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15773-2024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46310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46310</v>
      </c>
      <c r="F241" t="inlineStr">
        <is>
          <t>KRONOBERGS LÄN</t>
        </is>
      </c>
      <c r="G241" t="inlineStr">
        <is>
          <t>MARKARYD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46310</v>
      </c>
      <c r="F242" t="inlineStr">
        <is>
          <t>KRONOBERGS LÄN</t>
        </is>
      </c>
      <c r="G242" t="inlineStr">
        <is>
          <t>MARKARYD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46175</v>
      </c>
      <c r="E243" s="1" t="n">
        <v>46310</v>
      </c>
      <c r="F243" t="inlineStr">
        <is>
          <t>KRONOBERGS LÄN</t>
        </is>
      </c>
      <c r="G243" t="inlineStr">
        <is>
          <t>MARKARYD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46310</v>
      </c>
      <c r="F244" t="inlineStr">
        <is>
          <t>KRONOBERGS LÄN</t>
        </is>
      </c>
      <c r="G244" t="inlineStr">
        <is>
          <t>MARKARYD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45080</v>
      </c>
      <c r="E245" s="1" t="n">
        <v>46310</v>
      </c>
      <c r="F245" t="inlineStr">
        <is>
          <t>KRONOBERGS LÄN</t>
        </is>
      </c>
      <c r="G245" t="inlineStr">
        <is>
          <t>MARKARYD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46310</v>
      </c>
      <c r="F246" t="inlineStr">
        <is>
          <t>KRONOBERGS LÄN</t>
        </is>
      </c>
      <c r="G246" t="inlineStr">
        <is>
          <t>MARKARYD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27604-2026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46310</v>
      </c>
      <c r="F247" t="inlineStr">
        <is>
          <t>KRONOBERGS LÄN</t>
        </is>
      </c>
      <c r="G247" t="inlineStr">
        <is>
          <t>MARKARYD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46310</v>
      </c>
      <c r="F248" t="inlineStr">
        <is>
          <t>KRONOBERGS LÄN</t>
        </is>
      </c>
      <c r="G248" t="inlineStr">
        <is>
          <t>MARKARYD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46310</v>
      </c>
      <c r="F249" t="inlineStr">
        <is>
          <t>KRONOBERGS LÄN</t>
        </is>
      </c>
      <c r="G249" t="inlineStr">
        <is>
          <t>MARKARYD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45127</v>
      </c>
      <c r="E250" s="1" t="n">
        <v>46310</v>
      </c>
      <c r="F250" t="inlineStr">
        <is>
          <t>KRONOBERGS LÄN</t>
        </is>
      </c>
      <c r="G250" t="inlineStr">
        <is>
          <t>MARKARYD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61173-2021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44498</v>
      </c>
      <c r="E251" s="1" t="n">
        <v>46310</v>
      </c>
      <c r="F251" t="inlineStr">
        <is>
          <t>KRONOBERGS LÄN</t>
        </is>
      </c>
      <c r="G251" t="inlineStr">
        <is>
          <t>MARKARYD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45370</v>
      </c>
      <c r="E252" s="1" t="n">
        <v>46310</v>
      </c>
      <c r="F252" t="inlineStr">
        <is>
          <t>KRONOBERGS LÄN</t>
        </is>
      </c>
      <c r="G252" t="inlineStr">
        <is>
          <t>MARKARYD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46310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45361</v>
      </c>
      <c r="E254" s="1" t="n">
        <v>46310</v>
      </c>
      <c r="F254" t="inlineStr">
        <is>
          <t>KRONOBERGS LÄN</t>
        </is>
      </c>
      <c r="G254" t="inlineStr">
        <is>
          <t>MARKARYD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46310</v>
      </c>
      <c r="F255" t="inlineStr">
        <is>
          <t>KRONOBERGS LÄN</t>
        </is>
      </c>
      <c r="G255" t="inlineStr">
        <is>
          <t>MARKARYD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46310</v>
      </c>
      <c r="F256" t="inlineStr">
        <is>
          <t>KRONOBERGS LÄN</t>
        </is>
      </c>
      <c r="G256" t="inlineStr">
        <is>
          <t>MARKARYD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16022-2023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45026</v>
      </c>
      <c r="E257" s="1" t="n">
        <v>46310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46310</v>
      </c>
      <c r="F258" t="inlineStr">
        <is>
          <t>KRONOBERGS LÄN</t>
        </is>
      </c>
      <c r="G258" t="inlineStr">
        <is>
          <t>MARKARYD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46310</v>
      </c>
      <c r="F259" t="inlineStr">
        <is>
          <t>KRONOBERGS LÄN</t>
        </is>
      </c>
      <c r="G259" t="inlineStr">
        <is>
          <t>MARKARYD</t>
        </is>
      </c>
      <c r="H259" t="inlineStr">
        <is>
          <t>Naturvårdsverket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44700</v>
      </c>
      <c r="E260" s="1" t="n">
        <v>46310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64776-2023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46310</v>
      </c>
      <c r="F261" t="inlineStr">
        <is>
          <t>KRONOBERGS LÄN</t>
        </is>
      </c>
      <c r="G261" t="inlineStr">
        <is>
          <t>MARKARYD</t>
        </is>
      </c>
      <c r="H261" t="inlineStr">
        <is>
          <t>Kyrkan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46310</v>
      </c>
      <c r="F262" t="inlineStr">
        <is>
          <t>KRONOBERGS LÄN</t>
        </is>
      </c>
      <c r="G262" t="inlineStr">
        <is>
          <t>MARKARYD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46310</v>
      </c>
      <c r="F263" t="inlineStr">
        <is>
          <t>KRONOBERGS LÄN</t>
        </is>
      </c>
      <c r="G263" t="inlineStr">
        <is>
          <t>MARKARYD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46213</v>
      </c>
      <c r="E264" s="1" t="n">
        <v>46310</v>
      </c>
      <c r="F264" t="inlineStr">
        <is>
          <t>KRONOBERGS LÄN</t>
        </is>
      </c>
      <c r="G264" t="inlineStr">
        <is>
          <t>MARKARYD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46310</v>
      </c>
      <c r="F265" t="inlineStr">
        <is>
          <t>KRONOBERGS LÄN</t>
        </is>
      </c>
      <c r="G265" t="inlineStr">
        <is>
          <t>MARKARYD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58686-2022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44902</v>
      </c>
      <c r="E266" s="1" t="n">
        <v>46310</v>
      </c>
      <c r="F266" t="inlineStr">
        <is>
          <t>KRONOBERGS LÄN</t>
        </is>
      </c>
      <c r="G266" t="inlineStr">
        <is>
          <t>MARKARYD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36566-2026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46269</v>
      </c>
      <c r="E267" s="1" t="n">
        <v>46310</v>
      </c>
      <c r="F267" t="inlineStr">
        <is>
          <t>KRONOBERGS LÄN</t>
        </is>
      </c>
      <c r="G267" t="inlineStr">
        <is>
          <t>MARKARYD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46269</v>
      </c>
      <c r="E268" s="1" t="n">
        <v>46310</v>
      </c>
      <c r="F268" t="inlineStr">
        <is>
          <t>KRONOBERGS LÄN</t>
        </is>
      </c>
      <c r="G268" t="inlineStr">
        <is>
          <t>MARKARYD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46310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46310</v>
      </c>
      <c r="F270" t="inlineStr">
        <is>
          <t>KRONOBERGS LÄN</t>
        </is>
      </c>
      <c r="G270" t="inlineStr">
        <is>
          <t>MARKARYD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46269</v>
      </c>
      <c r="E271" s="1" t="n">
        <v>46310</v>
      </c>
      <c r="F271" t="inlineStr">
        <is>
          <t>KRONOBERGS LÄN</t>
        </is>
      </c>
      <c r="G271" t="inlineStr">
        <is>
          <t>MARKARYD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44790</v>
      </c>
      <c r="E272" s="1" t="n">
        <v>46310</v>
      </c>
      <c r="F272" t="inlineStr">
        <is>
          <t>KRONOBERGS LÄN</t>
        </is>
      </c>
      <c r="G272" t="inlineStr">
        <is>
          <t>MARKARYD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44587</v>
      </c>
      <c r="E273" s="1" t="n">
        <v>46310</v>
      </c>
      <c r="F273" t="inlineStr">
        <is>
          <t>KRONOBERGS LÄN</t>
        </is>
      </c>
      <c r="G273" t="inlineStr">
        <is>
          <t>MARKARYD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46310</v>
      </c>
      <c r="F274" t="inlineStr">
        <is>
          <t>KRONOBERGS LÄN</t>
        </is>
      </c>
      <c r="G274" t="inlineStr">
        <is>
          <t>MARKARYD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61274-2021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46310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46310</v>
      </c>
      <c r="F276" t="inlineStr">
        <is>
          <t>KRONOBERGS LÄN</t>
        </is>
      </c>
      <c r="G276" t="inlineStr">
        <is>
          <t>MARKARYD</t>
        </is>
      </c>
      <c r="H276" t="inlineStr">
        <is>
          <t>Kommuner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44601</v>
      </c>
      <c r="E277" s="1" t="n">
        <v>46310</v>
      </c>
      <c r="F277" t="inlineStr">
        <is>
          <t>KRONOBERGS LÄN</t>
        </is>
      </c>
      <c r="G277" t="inlineStr">
        <is>
          <t>MARKARYD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46310</v>
      </c>
      <c r="F278" t="inlineStr">
        <is>
          <t>KRONOBERGS LÄN</t>
        </is>
      </c>
      <c r="G278" t="inlineStr">
        <is>
          <t>MARKARYD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46310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45407</v>
      </c>
      <c r="E280" s="1" t="n">
        <v>46310</v>
      </c>
      <c r="F280" t="inlineStr">
        <is>
          <t>KRONOBERGS LÄN</t>
        </is>
      </c>
      <c r="G280" t="inlineStr">
        <is>
          <t>MARKARYD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46310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46310</v>
      </c>
      <c r="F282" t="inlineStr">
        <is>
          <t>KRONOBERGS LÄN</t>
        </is>
      </c>
      <c r="G282" t="inlineStr">
        <is>
          <t>MARKARYD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46310</v>
      </c>
      <c r="F283" t="inlineStr">
        <is>
          <t>KRONOBERGS LÄN</t>
        </is>
      </c>
      <c r="G283" t="inlineStr">
        <is>
          <t>MARKARYD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46281</v>
      </c>
      <c r="E284" s="1" t="n">
        <v>46310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46310</v>
      </c>
      <c r="F285" t="inlineStr">
        <is>
          <t>KRONOBERGS LÄN</t>
        </is>
      </c>
      <c r="G285" t="inlineStr">
        <is>
          <t>MARKARYD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46282</v>
      </c>
      <c r="E286" s="1" t="n">
        <v>46310</v>
      </c>
      <c r="F286" t="inlineStr">
        <is>
          <t>KRONOBERGS LÄN</t>
        </is>
      </c>
      <c r="G286" t="inlineStr">
        <is>
          <t>MARKARYD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46310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64916-2023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46310</v>
      </c>
      <c r="F288" t="inlineStr">
        <is>
          <t>KRONOBERGS LÄN</t>
        </is>
      </c>
      <c r="G288" t="inlineStr">
        <is>
          <t>MARKARYD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46310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46310</v>
      </c>
      <c r="F290" t="inlineStr">
        <is>
          <t>KRONOBERGS LÄN</t>
        </is>
      </c>
      <c r="G290" t="inlineStr">
        <is>
          <t>MARKARYD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46310</v>
      </c>
      <c r="F291" t="inlineStr">
        <is>
          <t>KRONOBERGS LÄN</t>
        </is>
      </c>
      <c r="G291" t="inlineStr">
        <is>
          <t>MARKARYD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46310</v>
      </c>
      <c r="F292" t="inlineStr">
        <is>
          <t>KRONOBERGS LÄN</t>
        </is>
      </c>
      <c r="G292" t="inlineStr">
        <is>
          <t>MARKARYD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46310</v>
      </c>
      <c r="F293" t="inlineStr">
        <is>
          <t>KRONOBERGS LÄN</t>
        </is>
      </c>
      <c r="G293" t="inlineStr">
        <is>
          <t>MARKARYD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45687</v>
      </c>
      <c r="E294" s="1" t="n">
        <v>46310</v>
      </c>
      <c r="F294" t="inlineStr">
        <is>
          <t>KRONOBERGS LÄN</t>
        </is>
      </c>
      <c r="G294" t="inlineStr">
        <is>
          <t>MARKARYD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46310</v>
      </c>
      <c r="F295" t="inlineStr">
        <is>
          <t>KRONOBERGS LÄN</t>
        </is>
      </c>
      <c r="G295" t="inlineStr">
        <is>
          <t>MARKARYD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45371</v>
      </c>
      <c r="E296" s="1" t="n">
        <v>46310</v>
      </c>
      <c r="F296" t="inlineStr">
        <is>
          <t>KRONOBERGS LÄN</t>
        </is>
      </c>
      <c r="G296" t="inlineStr">
        <is>
          <t>MARKARYD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46310</v>
      </c>
      <c r="F297" t="inlineStr">
        <is>
          <t>KRONOBERGS LÄN</t>
        </is>
      </c>
      <c r="G297" t="inlineStr">
        <is>
          <t>MARKARYD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46310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46310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25957-2023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45090</v>
      </c>
      <c r="E300" s="1" t="n">
        <v>46310</v>
      </c>
      <c r="F300" t="inlineStr">
        <is>
          <t>KRONOBERGS LÄN</t>
        </is>
      </c>
      <c r="G300" t="inlineStr">
        <is>
          <t>MARKARYD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46310</v>
      </c>
      <c r="F301" t="inlineStr">
        <is>
          <t>KRONOBERGS LÄN</t>
        </is>
      </c>
      <c r="G301" t="inlineStr">
        <is>
          <t>MARKARYD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46310</v>
      </c>
      <c r="F302" t="inlineStr">
        <is>
          <t>KRONOBERGS LÄN</t>
        </is>
      </c>
      <c r="G302" t="inlineStr">
        <is>
          <t>MARKARYD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46310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45678</v>
      </c>
      <c r="E304" s="1" t="n">
        <v>46310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46310</v>
      </c>
      <c r="F305" t="inlineStr">
        <is>
          <t>KRONOBERGS LÄN</t>
        </is>
      </c>
      <c r="G305" t="inlineStr">
        <is>
          <t>MARKARYD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44581</v>
      </c>
      <c r="E306" s="1" t="n">
        <v>46310</v>
      </c>
      <c r="F306" t="inlineStr">
        <is>
          <t>KRONOBERGS LÄN</t>
        </is>
      </c>
      <c r="G306" t="inlineStr">
        <is>
          <t>MARKARYD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73861-2021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44553</v>
      </c>
      <c r="E307" s="1" t="n">
        <v>46310</v>
      </c>
      <c r="F307" t="inlineStr">
        <is>
          <t>KRONOBERGS LÄN</t>
        </is>
      </c>
      <c r="G307" t="inlineStr">
        <is>
          <t>MARKARYD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46310</v>
      </c>
      <c r="F308" t="inlineStr">
        <is>
          <t>KRONOBERGS LÄN</t>
        </is>
      </c>
      <c r="G308" t="inlineStr">
        <is>
          <t>MARKARYD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46310</v>
      </c>
      <c r="F309" t="inlineStr">
        <is>
          <t>KRONOBERGS LÄN</t>
        </is>
      </c>
      <c r="G309" t="inlineStr">
        <is>
          <t>MARKARYD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45344</v>
      </c>
      <c r="E310" s="1" t="n">
        <v>46310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44848</v>
      </c>
      <c r="E311" s="1" t="n">
        <v>46310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46310</v>
      </c>
      <c r="F312" t="inlineStr">
        <is>
          <t>KRONOBERGS LÄN</t>
        </is>
      </c>
      <c r="G312" t="inlineStr">
        <is>
          <t>MARKARYD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45230</v>
      </c>
      <c r="E313" s="1" t="n">
        <v>46310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46310</v>
      </c>
      <c r="F314" t="inlineStr">
        <is>
          <t>KRONOBERGS LÄN</t>
        </is>
      </c>
      <c r="G314" t="inlineStr">
        <is>
          <t>MARKARYD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45080</v>
      </c>
      <c r="E315" s="1" t="n">
        <v>46310</v>
      </c>
      <c r="F315" t="inlineStr">
        <is>
          <t>KRONOBERGS LÄN</t>
        </is>
      </c>
      <c r="G315" t="inlineStr">
        <is>
          <t>MARKARYD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46310</v>
      </c>
      <c r="F316" t="inlineStr">
        <is>
          <t>KRONOBERGS LÄN</t>
        </is>
      </c>
      <c r="G316" t="inlineStr">
        <is>
          <t>MARKARYD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46297</v>
      </c>
      <c r="E317" s="1" t="n">
        <v>46310</v>
      </c>
      <c r="F317" t="inlineStr">
        <is>
          <t>KRONOBERGS LÄN</t>
        </is>
      </c>
      <c r="G317" t="inlineStr">
        <is>
          <t>MARKARYD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45275</v>
      </c>
      <c r="E318" s="1" t="n">
        <v>46310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40926-2026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46297</v>
      </c>
      <c r="E319" s="1" t="n">
        <v>46310</v>
      </c>
      <c r="F319" t="inlineStr">
        <is>
          <t>KRONOBERGS LÄN</t>
        </is>
      </c>
      <c r="G319" t="inlineStr">
        <is>
          <t>MARKARYD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46310</v>
      </c>
      <c r="F320" t="inlineStr">
        <is>
          <t>KRONOBERGS LÄN</t>
        </is>
      </c>
      <c r="G320" t="inlineStr">
        <is>
          <t>MARKARYD</t>
        </is>
      </c>
      <c r="I320" t="n">
        <v>13.2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46310</v>
      </c>
      <c r="F321" t="inlineStr">
        <is>
          <t>KRONOBERGS LÄN</t>
        </is>
      </c>
      <c r="G321" t="inlineStr">
        <is>
          <t>MARKARYD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45681</v>
      </c>
      <c r="E322" s="1" t="n">
        <v>46310</v>
      </c>
      <c r="F322" t="inlineStr">
        <is>
          <t>KRONOBERGS LÄN</t>
        </is>
      </c>
      <c r="G322" t="inlineStr">
        <is>
          <t>MARKARYD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45462</v>
      </c>
      <c r="E323" s="1" t="n">
        <v>46310</v>
      </c>
      <c r="F323" t="inlineStr">
        <is>
          <t>KRONOBERGS LÄN</t>
        </is>
      </c>
      <c r="G323" t="inlineStr">
        <is>
          <t>MARKARYD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46310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46310</v>
      </c>
      <c r="F325" t="inlineStr">
        <is>
          <t>KRONOBERGS LÄN</t>
        </is>
      </c>
      <c r="G325" t="inlineStr">
        <is>
          <t>MARKARYD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30613-2026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46310</v>
      </c>
      <c r="F326" t="inlineStr">
        <is>
          <t>KRONOBERGS LÄN</t>
        </is>
      </c>
      <c r="G326" t="inlineStr">
        <is>
          <t>MARKARYD</t>
        </is>
      </c>
      <c r="H326" t="inlineStr">
        <is>
          <t>Kommuner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45566</v>
      </c>
      <c r="E327" s="1" t="n">
        <v>46310</v>
      </c>
      <c r="F327" t="inlineStr">
        <is>
          <t>KRONOBERGS LÄN</t>
        </is>
      </c>
      <c r="G327" t="inlineStr">
        <is>
          <t>MARKARYD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46310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46310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46310</v>
      </c>
      <c r="F330" t="inlineStr">
        <is>
          <t>KRONOBERGS LÄN</t>
        </is>
      </c>
      <c r="G330" t="inlineStr">
        <is>
          <t>MARKARYD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46300</v>
      </c>
      <c r="E331" s="1" t="n">
        <v>46310</v>
      </c>
      <c r="F331" t="inlineStr">
        <is>
          <t>KRONOBERGS LÄN</t>
        </is>
      </c>
      <c r="G331" t="inlineStr">
        <is>
          <t>MARKARYD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46310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46310</v>
      </c>
      <c r="F333" t="inlineStr">
        <is>
          <t>KRONOBERGS LÄN</t>
        </is>
      </c>
      <c r="G333" t="inlineStr">
        <is>
          <t>MARKARYD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46310</v>
      </c>
      <c r="F334" t="inlineStr">
        <is>
          <t>KRONOBERGS LÄN</t>
        </is>
      </c>
      <c r="G334" t="inlineStr">
        <is>
          <t>MARKARYD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45265</v>
      </c>
      <c r="E335" s="1" t="n">
        <v>46310</v>
      </c>
      <c r="F335" t="inlineStr">
        <is>
          <t>KRONOBERGS LÄN</t>
        </is>
      </c>
      <c r="G335" t="inlineStr">
        <is>
          <t>MARKARYD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45230</v>
      </c>
      <c r="E336" s="1" t="n">
        <v>46310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46310</v>
      </c>
      <c r="F337" t="inlineStr">
        <is>
          <t>KRONOBERGS LÄN</t>
        </is>
      </c>
      <c r="G337" t="inlineStr">
        <is>
          <t>MARKARYD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46310</v>
      </c>
      <c r="F338" t="inlineStr">
        <is>
          <t>KRONOBERGS LÄN</t>
        </is>
      </c>
      <c r="G338" t="inlineStr">
        <is>
          <t>MARKARYD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21696-2025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46310</v>
      </c>
      <c r="F339" t="inlineStr">
        <is>
          <t>KRONOBERGS LÄN</t>
        </is>
      </c>
      <c r="G339" t="inlineStr">
        <is>
          <t>MARKARYD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45609</v>
      </c>
      <c r="E340" s="1" t="n">
        <v>46310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46310</v>
      </c>
      <c r="F341" t="inlineStr">
        <is>
          <t>KRONOBERGS LÄN</t>
        </is>
      </c>
      <c r="G341" t="inlineStr">
        <is>
          <t>MARKARYD</t>
        </is>
      </c>
      <c r="H341" t="inlineStr">
        <is>
          <t>Övriga Aktiebolag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46310</v>
      </c>
      <c r="F342" t="inlineStr">
        <is>
          <t>KRONOBERGS LÄN</t>
        </is>
      </c>
      <c r="G342" t="inlineStr">
        <is>
          <t>MARKARYD</t>
        </is>
      </c>
      <c r="H342" t="inlineStr">
        <is>
          <t>Övriga Aktiebolag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46310</v>
      </c>
      <c r="F343" t="inlineStr">
        <is>
          <t>KRONOBERGS LÄN</t>
        </is>
      </c>
      <c r="G343" t="inlineStr">
        <is>
          <t>MARKARYD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46310</v>
      </c>
      <c r="F344" t="inlineStr">
        <is>
          <t>KRONOBERGS LÄN</t>
        </is>
      </c>
      <c r="G344" t="inlineStr">
        <is>
          <t>MARKARYD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45444</v>
      </c>
      <c r="E345" s="1" t="n">
        <v>46310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46310</v>
      </c>
      <c r="F346" t="inlineStr">
        <is>
          <t>KRONOBERGS LÄN</t>
        </is>
      </c>
      <c r="G346" t="inlineStr">
        <is>
          <t>MARKARYD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45593</v>
      </c>
      <c r="E347" s="1" t="n">
        <v>46310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46310</v>
      </c>
      <c r="F348" t="inlineStr">
        <is>
          <t>KRONOBERGS LÄN</t>
        </is>
      </c>
      <c r="G348" t="inlineStr">
        <is>
          <t>MARKARYD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46267</v>
      </c>
      <c r="E349" s="1" t="n">
        <v>46310</v>
      </c>
      <c r="F349" t="inlineStr">
        <is>
          <t>KRONOBERGS LÄN</t>
        </is>
      </c>
      <c r="G349" t="inlineStr">
        <is>
          <t>MARKARYD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46310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46310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46310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46310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46310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46310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46310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46310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46310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46310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46310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46310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2026-10-15T02:06:58Z</dcterms:created>
  <dcterms:modified xmlns:dcterms="http://purl.org/dc/terms/" xmlns:xsi="http://www.w3.org/2001/XMLSchema-instance" xsi:type="dcterms:W3CDTF">2026-10-15T02:06:58Z</dcterms:modified>
</cp:coreProperties>
</file>