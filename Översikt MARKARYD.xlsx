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46223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X2">
        <f>HYPERLINK("https://klasma.github.io/Logging_0767/kartor_geotiff/S 4948-2024 georefererad karta.tif", "S 4948-2024")</f>
        <v/>
      </c>
      <c r="Z2">
        <f>HYPERLINK("https://klasma.github.io/Logging_0767/klagomål/S 4948-2024 FSC-klagomål.docx", "S 4948-2024")</f>
        <v/>
      </c>
      <c r="AA2">
        <f>HYPERLINK("https://klasma.github.io/Logging_0767/klagomålsmail/S 4948-2024 FSC-klagomål mail.docx", "S 4948-2024")</f>
        <v/>
      </c>
      <c r="AB2">
        <f>HYPERLINK("https://klasma.github.io/Logging_0767/tillsyn/S 4948-2024 tillsynsbegäran.docx", "S 4948-2024")</f>
        <v/>
      </c>
      <c r="AC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46223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X3">
        <f>HYPERLINK("https://klasma.github.io/Logging_0767/kartor_geotiff/A 27619-2022 georefererad karta.tif", "A 27619-2022")</f>
        <v/>
      </c>
      <c r="Z3">
        <f>HYPERLINK("https://klasma.github.io/Logging_0767/klagomål/A 27619-2022 FSC-klagomål.docx", "A 27619-2022")</f>
        <v/>
      </c>
      <c r="AA3">
        <f>HYPERLINK("https://klasma.github.io/Logging_0767/klagomålsmail/A 27619-2022 FSC-klagomål mail.docx", "A 27619-2022")</f>
        <v/>
      </c>
      <c r="AB3">
        <f>HYPERLINK("https://klasma.github.io/Logging_0767/tillsyn/A 27619-2022 tillsynsbegäran.docx", "A 27619-2022")</f>
        <v/>
      </c>
      <c r="AC3">
        <f>HYPERLINK("https://klasma.github.io/Logging_0767/tillsynsmail/A 27619-2022 tillsynsbegäran mail.docx", "A 27619-2022")</f>
        <v/>
      </c>
      <c r="AD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46223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s="2" t="inlineStr">
        <is>
          <t>Fällmossa
Havstulpanlav
Klippfrullania
Mönjevaxing
Platt fjädermossa</t>
        </is>
      </c>
      <c r="V4">
        <f>HYPERLINK("https://klasma.github.io/Logging_0767/artfynd/S 1552-2025 artfynd.xlsx", "S 1552-2025")</f>
        <v/>
      </c>
      <c r="W4">
        <f>HYPERLINK("https://klasma.github.io/Logging_0767/kartor/S 1552-2025 karta.png", "S 1552-2025")</f>
        <v/>
      </c>
      <c r="X4">
        <f>HYPERLINK("https://klasma.github.io/Logging_0767/kartor_geotiff/S 1552-2025 georefererad karta.tif", "S 1552-2025")</f>
        <v/>
      </c>
      <c r="Z4">
        <f>HYPERLINK("https://klasma.github.io/Logging_0767/klagomål/S 1552-2025 FSC-klagomål.docx", "S 1552-2025")</f>
        <v/>
      </c>
      <c r="AA4">
        <f>HYPERLINK("https://klasma.github.io/Logging_0767/klagomålsmail/S 1552-2025 FSC-klagomål mail.docx", "S 1552-2025")</f>
        <v/>
      </c>
      <c r="AB4">
        <f>HYPERLINK("https://klasma.github.io/Logging_0767/tillsyn/S 1552-2025 tillsynsbegäran.docx", "S 1552-2025")</f>
        <v/>
      </c>
      <c r="AC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s="2" t="inlineStr">
        <is>
          <t>Fällmossa
Havstulpanlav
Klippfrullania</t>
        </is>
      </c>
      <c r="V5">
        <f>HYPERLINK("https://klasma.github.io/Logging_0767/artfynd/A 39507-2022 artfynd.xlsx", "A 39507-2022")</f>
        <v/>
      </c>
      <c r="W5">
        <f>HYPERLINK("https://klasma.github.io/Logging_0767/kartor/A 39507-2022 karta.png", "A 39507-2022")</f>
        <v/>
      </c>
      <c r="X5">
        <f>HYPERLINK("https://klasma.github.io/Logging_0767/kartor_geotiff/A 39507-2022 georefererad karta.tif", "A 39507-2022")</f>
        <v/>
      </c>
      <c r="Z5">
        <f>HYPERLINK("https://klasma.github.io/Logging_0767/klagomål/A 39507-2022 FSC-klagomål.docx", "A 39507-2022")</f>
        <v/>
      </c>
      <c r="AA5">
        <f>HYPERLINK("https://klasma.github.io/Logging_0767/klagomålsmail/A 39507-2022 FSC-klagomål mail.docx", "A 39507-2022")</f>
        <v/>
      </c>
      <c r="AB5">
        <f>HYPERLINK("https://klasma.github.io/Logging_0767/tillsyn/A 39507-2022 tillsynsbegäran.docx", "A 39507-2022")</f>
        <v/>
      </c>
      <c r="AC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Jungfrulin
Spindelblomster</t>
        </is>
      </c>
      <c r="V6">
        <f>HYPERLINK("https://klasma.github.io/Logging_0767/artfynd/A 51195-2023 artfynd.xlsx", "A 51195-2023")</f>
        <v/>
      </c>
      <c r="W6">
        <f>HYPERLINK("https://klasma.github.io/Logging_0767/kartor/A 51195-2023 karta.png", "A 51195-2023")</f>
        <v/>
      </c>
      <c r="X6">
        <f>HYPERLINK("https://klasma.github.io/Logging_0767/kartor_geotiff/A 51195-2023 georefererad karta.tif", "A 51195-2023")</f>
        <v/>
      </c>
      <c r="Z6">
        <f>HYPERLINK("https://klasma.github.io/Logging_0767/klagomål/A 51195-2023 FSC-klagomål.docx", "A 51195-2023")</f>
        <v/>
      </c>
      <c r="AA6">
        <f>HYPERLINK("https://klasma.github.io/Logging_0767/klagomålsmail/A 51195-2023 FSC-klagomål mail.docx", "A 51195-2023")</f>
        <v/>
      </c>
      <c r="AB6">
        <f>HYPERLINK("https://klasma.github.io/Logging_0767/tillsyn/A 51195-2023 tillsynsbegäran.docx", "A 51195-2023")</f>
        <v/>
      </c>
      <c r="AC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Kråka
Röd glada</t>
        </is>
      </c>
      <c r="V7">
        <f>HYPERLINK("https://klasma.github.io/Logging_0767/artfynd/A 39508-2022 artfynd.xlsx", "A 39508-2022")</f>
        <v/>
      </c>
      <c r="W7">
        <f>HYPERLINK("https://klasma.github.io/Logging_0767/kartor/A 39508-2022 karta.png", "A 39508-2022")</f>
        <v/>
      </c>
      <c r="X7">
        <f>HYPERLINK("https://klasma.github.io/Logging_0767/kartor_geotiff/A 39508-2022 georefererad karta.tif", "A 39508-2022")</f>
        <v/>
      </c>
      <c r="Z7">
        <f>HYPERLINK("https://klasma.github.io/Logging_0767/klagomål/A 39508-2022 FSC-klagomål.docx", "A 39508-2022")</f>
        <v/>
      </c>
      <c r="AA7">
        <f>HYPERLINK("https://klasma.github.io/Logging_0767/klagomålsmail/A 39508-2022 FSC-klagomål mail.docx", "A 39508-2022")</f>
        <v/>
      </c>
      <c r="AB7">
        <f>HYPERLINK("https://klasma.github.io/Logging_0767/tillsyn/A 39508-2022 tillsynsbegäran.docx", "A 39508-2022")</f>
        <v/>
      </c>
      <c r="AC7">
        <f>HYPERLINK("https://klasma.github.io/Logging_0767/tillsynsmail/A 39508-2022 tillsynsbegäran mail.docx", "A 39508-2022")</f>
        <v/>
      </c>
      <c r="AD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46223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Lopplummer (aggregat)</t>
        </is>
      </c>
      <c r="V8">
        <f>HYPERLINK("https://klasma.github.io/Logging_0767/artfynd/A 73863-2021 artfynd.xlsx", "A 73863-2021")</f>
        <v/>
      </c>
      <c r="W8">
        <f>HYPERLINK("https://klasma.github.io/Logging_0767/kartor/A 73863-2021 karta.png", "A 73863-2021")</f>
        <v/>
      </c>
      <c r="X8">
        <f>HYPERLINK("https://klasma.github.io/Logging_0767/kartor_geotiff/A 73863-2021 georefererad karta.tif", "A 73863-2021")</f>
        <v/>
      </c>
      <c r="Z8">
        <f>HYPERLINK("https://klasma.github.io/Logging_0767/klagomål/A 73863-2021 FSC-klagomål.docx", "A 73863-2021")</f>
        <v/>
      </c>
      <c r="AA8">
        <f>HYPERLINK("https://klasma.github.io/Logging_0767/klagomålsmail/A 73863-2021 FSC-klagomål mail.docx", "A 73863-2021")</f>
        <v/>
      </c>
      <c r="AB8">
        <f>HYPERLINK("https://klasma.github.io/Logging_0767/tillsyn/A 73863-2021 tillsynsbegäran.docx", "A 73863-2021")</f>
        <v/>
      </c>
      <c r="AC8">
        <f>HYPERLINK("https://klasma.github.io/Logging_0767/tillsynsmail/A 73863-2021 tillsynsbegäran mail.docx", "A 73863-2021")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46223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Tjäder</t>
        </is>
      </c>
      <c r="V9">
        <f>HYPERLINK("https://klasma.github.io/Logging_0767/artfynd/A 62519-2023 artfynd.xlsx", "A 62519-2023")</f>
        <v/>
      </c>
      <c r="W9">
        <f>HYPERLINK("https://klasma.github.io/Logging_0767/kartor/A 62519-2023 karta.png", "A 62519-2023")</f>
        <v/>
      </c>
      <c r="X9">
        <f>HYPERLINK("https://klasma.github.io/Logging_0767/kartor_geotiff/A 62519-2023 georefererad karta.tif", "A 62519-2023")</f>
        <v/>
      </c>
      <c r="Z9">
        <f>HYPERLINK("https://klasma.github.io/Logging_0767/klagomål/A 62519-2023 FSC-klagomål.docx", "A 62519-2023")</f>
        <v/>
      </c>
      <c r="AA9">
        <f>HYPERLINK("https://klasma.github.io/Logging_0767/klagomålsmail/A 62519-2023 FSC-klagomål mail.docx", "A 62519-2023")</f>
        <v/>
      </c>
      <c r="AB9">
        <f>HYPERLINK("https://klasma.github.io/Logging_0767/tillsyn/A 62519-2023 tillsynsbegäran.docx", "A 62519-2023")</f>
        <v/>
      </c>
      <c r="AC9">
        <f>HYPERLINK("https://klasma.github.io/Logging_0767/tillsynsmail/A 62519-2023 tillsynsbegäran mail.docx", "A 62519-2023")</f>
        <v/>
      </c>
      <c r="AD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46223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Fläcknycklar</t>
        </is>
      </c>
      <c r="V10">
        <f>HYPERLINK("https://klasma.github.io/Logging_0767/artfynd/A 29201-2025 artfynd.xlsx", "A 29201-2025")</f>
        <v/>
      </c>
      <c r="W10">
        <f>HYPERLINK("https://klasma.github.io/Logging_0767/kartor/A 29201-2025 karta.png", "A 29201-2025")</f>
        <v/>
      </c>
      <c r="X10">
        <f>HYPERLINK("https://klasma.github.io/Logging_0767/kartor_geotiff/A 29201-2025 georefererad karta.tif", "A 29201-2025")</f>
        <v/>
      </c>
      <c r="Z10">
        <f>HYPERLINK("https://klasma.github.io/Logging_0767/klagomål/A 29201-2025 FSC-klagomål.docx", "A 29201-2025")</f>
        <v/>
      </c>
      <c r="AA10">
        <f>HYPERLINK("https://klasma.github.io/Logging_0767/klagomålsmail/A 29201-2025 FSC-klagomål mail.docx", "A 29201-2025")</f>
        <v/>
      </c>
      <c r="AB10">
        <f>HYPERLINK("https://klasma.github.io/Logging_0767/tillsyn/A 29201-2025 tillsynsbegäran.docx", "A 29201-2025")</f>
        <v/>
      </c>
      <c r="AC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46223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Blåmossa</t>
        </is>
      </c>
      <c r="V11">
        <f>HYPERLINK("https://klasma.github.io/Logging_0767/artfynd/A 37243-2025 artfynd.xlsx", "A 37243-2025")</f>
        <v/>
      </c>
      <c r="W11">
        <f>HYPERLINK("https://klasma.github.io/Logging_0767/kartor/A 37243-2025 karta.png", "A 37243-2025")</f>
        <v/>
      </c>
      <c r="X11">
        <f>HYPERLINK("https://klasma.github.io/Logging_0767/kartor_geotiff/A 37243-2025 georefererad karta.tif", "A 37243-2025")</f>
        <v/>
      </c>
      <c r="Z11">
        <f>HYPERLINK("https://klasma.github.io/Logging_0767/klagomål/A 37243-2025 FSC-klagomål.docx", "A 37243-2025")</f>
        <v/>
      </c>
      <c r="AA11">
        <f>HYPERLINK("https://klasma.github.io/Logging_0767/klagomålsmail/A 37243-2025 FSC-klagomål mail.docx", "A 37243-2025")</f>
        <v/>
      </c>
      <c r="AB11">
        <f>HYPERLINK("https://klasma.github.io/Logging_0767/tillsyn/A 37243-2025 tillsynsbegäran.docx", "A 37243-2025")</f>
        <v/>
      </c>
      <c r="AC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46223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Borsttåg</t>
        </is>
      </c>
      <c r="V12">
        <f>HYPERLINK("https://klasma.github.io/Logging_0767/artfynd/A 12528-2026 artfynd.xlsx", "A 12528-2026")</f>
        <v/>
      </c>
      <c r="W12">
        <f>HYPERLINK("https://klasma.github.io/Logging_0767/kartor/A 12528-2026 karta.png", "A 12528-2026")</f>
        <v/>
      </c>
      <c r="X12">
        <f>HYPERLINK("https://klasma.github.io/Logging_0767/kartor_geotiff/A 12528-2026 georefererad karta.tif", "A 12528-2026")</f>
        <v/>
      </c>
      <c r="Z12">
        <f>HYPERLINK("https://klasma.github.io/Logging_0767/klagomål/A 12528-2026 FSC-klagomål.docx", "A 12528-2026")</f>
        <v/>
      </c>
      <c r="AA12">
        <f>HYPERLINK("https://klasma.github.io/Logging_0767/klagomålsmail/A 12528-2026 FSC-klagomål mail.docx", "A 12528-2026")</f>
        <v/>
      </c>
      <c r="AB12">
        <f>HYPERLINK("https://klasma.github.io/Logging_0767/tillsyn/A 12528-2026 tillsynsbegäran.docx", "A 12528-2026")</f>
        <v/>
      </c>
      <c r="AC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46223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Västlig hakmossa</t>
        </is>
      </c>
      <c r="V13">
        <f>HYPERLINK("https://klasma.github.io/Logging_0767/artfynd/A 7501-2024 artfynd.xlsx", "A 7501-2024")</f>
        <v/>
      </c>
      <c r="W13">
        <f>HYPERLINK("https://klasma.github.io/Logging_0767/kartor/A 7501-2024 karta.png", "A 7501-2024")</f>
        <v/>
      </c>
      <c r="X13">
        <f>HYPERLINK("https://klasma.github.io/Logging_0767/kartor_geotiff/A 7501-2024 georefererad karta.tif", "A 7501-2024")</f>
        <v/>
      </c>
      <c r="Z13">
        <f>HYPERLINK("https://klasma.github.io/Logging_0767/klagomål/A 7501-2024 FSC-klagomål.docx", "A 7501-2024")</f>
        <v/>
      </c>
      <c r="AA13">
        <f>HYPERLINK("https://klasma.github.io/Logging_0767/klagomålsmail/A 7501-2024 FSC-klagomål mail.docx", "A 7501-2024")</f>
        <v/>
      </c>
      <c r="AB13">
        <f>HYPERLINK("https://klasma.github.io/Logging_0767/tillsyn/A 7501-2024 tillsynsbegäran.docx", "A 7501-2024")</f>
        <v/>
      </c>
      <c r="AC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46223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Klofibbla</t>
        </is>
      </c>
      <c r="V14">
        <f>HYPERLINK("https://klasma.github.io/Logging_0767/artfynd/A 29375-2026 artfynd.xlsx", "A 29375-2026")</f>
        <v/>
      </c>
      <c r="W14">
        <f>HYPERLINK("https://klasma.github.io/Logging_0767/kartor/A 29375-2026 karta.png", "A 29375-2026")</f>
        <v/>
      </c>
      <c r="X14">
        <f>HYPERLINK("https://klasma.github.io/Logging_0767/kartor_geotiff/A 29375-2026 georefererad karta.tif", "A 29375-2026")</f>
        <v/>
      </c>
      <c r="Z14">
        <f>HYPERLINK("https://klasma.github.io/Logging_0767/klagomål/A 29375-2026 FSC-klagomål.docx", "A 29375-2026")</f>
        <v/>
      </c>
      <c r="AA14">
        <f>HYPERLINK("https://klasma.github.io/Logging_0767/klagomålsmail/A 29375-2026 FSC-klagomål mail.docx", "A 29375-2026")</f>
        <v/>
      </c>
      <c r="AB14">
        <f>HYPERLINK("https://klasma.github.io/Logging_0767/tillsyn/A 29375-2026 tillsynsbegäran.docx", "A 29375-2026")</f>
        <v/>
      </c>
      <c r="AC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46223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Slåttergubbe</t>
        </is>
      </c>
      <c r="V15">
        <f>HYPERLINK("https://klasma.github.io/Logging_0767/artfynd/A 4473-2023 artfynd.xlsx", "A 4473-2023")</f>
        <v/>
      </c>
      <c r="W15">
        <f>HYPERLINK("https://klasma.github.io/Logging_0767/kartor/A 4473-2023 karta.png", "A 4473-2023")</f>
        <v/>
      </c>
      <c r="X15">
        <f>HYPERLINK("https://klasma.github.io/Logging_0767/kartor_geotiff/A 4473-2023 georefererad karta.tif", "A 4473-2023")</f>
        <v/>
      </c>
      <c r="Z15">
        <f>HYPERLINK("https://klasma.github.io/Logging_0767/klagomål/A 4473-2023 FSC-klagomål.docx", "A 4473-2023")</f>
        <v/>
      </c>
      <c r="AA15">
        <f>HYPERLINK("https://klasma.github.io/Logging_0767/klagomålsmail/A 4473-2023 FSC-klagomål mail.docx", "A 4473-2023")</f>
        <v/>
      </c>
      <c r="AB15">
        <f>HYPERLINK("https://klasma.github.io/Logging_0767/tillsyn/A 4473-2023 tillsynsbegäran.docx", "A 4473-2023")</f>
        <v/>
      </c>
      <c r="AC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46223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s="2" t="inlineStr">
        <is>
          <t>Slåttergubbe</t>
        </is>
      </c>
      <c r="V16">
        <f>HYPERLINK("https://klasma.github.io/Logging_0767/artfynd/S 625-2023 artfynd.xlsx", "S 625-2023")</f>
        <v/>
      </c>
      <c r="W16">
        <f>HYPERLINK("https://klasma.github.io/Logging_0767/kartor/S 625-2023 karta.png", "S 625-2023")</f>
        <v/>
      </c>
      <c r="X16">
        <f>HYPERLINK("https://klasma.github.io/Logging_0767/kartor_geotiff/S 625-2023 georefererad karta.tif", "S 625-2023")</f>
        <v/>
      </c>
      <c r="Z16">
        <f>HYPERLINK("https://klasma.github.io/Logging_0767/klagomål/S 625-2023 FSC-klagomål.docx", "S 625-2023")</f>
        <v/>
      </c>
      <c r="AA16">
        <f>HYPERLINK("https://klasma.github.io/Logging_0767/klagomålsmail/S 625-2023 FSC-klagomål mail.docx", "S 625-2023")</f>
        <v/>
      </c>
      <c r="AB16">
        <f>HYPERLINK("https://klasma.github.io/Logging_0767/tillsyn/S 625-2023 tillsynsbegäran.docx", "S 625-2023")</f>
        <v/>
      </c>
      <c r="AC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46223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Åkerkål</t>
        </is>
      </c>
      <c r="V17">
        <f>HYPERLINK("https://klasma.github.io/Logging_0767/artfynd/S 4241-2024 artfynd.xlsx", "S 4241-2024")</f>
        <v/>
      </c>
      <c r="W17">
        <f>HYPERLINK("https://klasma.github.io/Logging_0767/kartor/S 4241-2024 karta.png", "S 4241-2024")</f>
        <v/>
      </c>
      <c r="X17">
        <f>HYPERLINK("https://klasma.github.io/Logging_0767/kartor_geotiff/S 4241-2024 georefererad karta.tif", "S 4241-2024")</f>
        <v/>
      </c>
      <c r="Z17">
        <f>HYPERLINK("https://klasma.github.io/Logging_0767/klagomål/S 4241-2024 FSC-klagomål.docx", "S 4241-2024")</f>
        <v/>
      </c>
      <c r="AA17">
        <f>HYPERLINK("https://klasma.github.io/Logging_0767/klagomålsmail/S 4241-2024 FSC-klagomål mail.docx", "S 4241-2024")</f>
        <v/>
      </c>
      <c r="AB17">
        <f>HYPERLINK("https://klasma.github.io/Logging_0767/tillsyn/S 4241-2024 tillsynsbegäran.docx", "S 4241-2024")</f>
        <v/>
      </c>
      <c r="AC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46223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Borsttåg</t>
        </is>
      </c>
      <c r="V18">
        <f>HYPERLINK("https://klasma.github.io/Logging_0767/artfynd/S 1252-2025 artfynd.xlsx", "S 1252-2025")</f>
        <v/>
      </c>
      <c r="W18">
        <f>HYPERLINK("https://klasma.github.io/Logging_0767/kartor/S 1252-2025 karta.png", "S 1252-2025")</f>
        <v/>
      </c>
      <c r="X18">
        <f>HYPERLINK("https://klasma.github.io/Logging_0767/kartor_geotiff/S 1252-2025 georefererad karta.tif", "S 1252-2025")</f>
        <v/>
      </c>
      <c r="Z18">
        <f>HYPERLINK("https://klasma.github.io/Logging_0767/klagomål/S 1252-2025 FSC-klagomål.docx", "S 1252-2025")</f>
        <v/>
      </c>
      <c r="AA18">
        <f>HYPERLINK("https://klasma.github.io/Logging_0767/klagomålsmail/S 1252-2025 FSC-klagomål mail.docx", "S 1252-2025")</f>
        <v/>
      </c>
      <c r="AB18">
        <f>HYPERLINK("https://klasma.github.io/Logging_0767/tillsyn/S 1252-2025 tillsynsbegäran.docx", "S 1252-2025")</f>
        <v/>
      </c>
      <c r="AC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46223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46223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46223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46223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46223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46223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46223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46223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46223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46223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46223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46223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46223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46223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46223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46223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46223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46223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46223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46223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46223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46223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46223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46223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46223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46223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46223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46223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46223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46223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46223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46223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46223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46223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46223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46223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19902-2025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46223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46223</v>
      </c>
      <c r="F59" t="inlineStr">
        <is>
          <t>KRONOBERGS LÄN</t>
        </is>
      </c>
      <c r="G59" t="inlineStr">
        <is>
          <t>MARKARYD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46223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46223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46223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46223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40586-2022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46223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46223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39435-2021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46223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50613-2023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46223</v>
      </c>
      <c r="F67" t="inlineStr">
        <is>
          <t>KRONOBERGS LÄN</t>
        </is>
      </c>
      <c r="G67" t="inlineStr">
        <is>
          <t>MARKARYD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46223</v>
      </c>
      <c r="F68" t="inlineStr">
        <is>
          <t>KRONOBERGS LÄN</t>
        </is>
      </c>
      <c r="G68" t="inlineStr">
        <is>
          <t>MARKARYD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46223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46223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46223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61632-2023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46223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46223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46223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46223</v>
      </c>
      <c r="F75" t="inlineStr">
        <is>
          <t>KRONOBERGS LÄN</t>
        </is>
      </c>
      <c r="G75" t="inlineStr">
        <is>
          <t>MARKARYD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46223</v>
      </c>
      <c r="F76" t="inlineStr">
        <is>
          <t>KRONOBERGS LÄN</t>
        </is>
      </c>
      <c r="G76" t="inlineStr">
        <is>
          <t>MARKARYD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17932-2024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46223</v>
      </c>
      <c r="F77" t="inlineStr">
        <is>
          <t>KRONOBERGS LÄN</t>
        </is>
      </c>
      <c r="G77" t="inlineStr">
        <is>
          <t>MARKARYD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46223</v>
      </c>
      <c r="F78" t="inlineStr">
        <is>
          <t>KRONOBERGS LÄN</t>
        </is>
      </c>
      <c r="G78" t="inlineStr">
        <is>
          <t>MARKARYD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45040</v>
      </c>
      <c r="E79" s="1" t="n">
        <v>46223</v>
      </c>
      <c r="F79" t="inlineStr">
        <is>
          <t>KRONOBERGS LÄN</t>
        </is>
      </c>
      <c r="G79" t="inlineStr">
        <is>
          <t>MARKARYD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46395-2022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46223</v>
      </c>
      <c r="F80" t="inlineStr">
        <is>
          <t>KRONOBERGS LÄN</t>
        </is>
      </c>
      <c r="G80" t="inlineStr">
        <is>
          <t>MARKARYD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46223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46223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46223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46223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46223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46223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25016-2023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46223</v>
      </c>
      <c r="F87" t="inlineStr">
        <is>
          <t>KRONOBERGS LÄN</t>
        </is>
      </c>
      <c r="G87" t="inlineStr">
        <is>
          <t>MARKARYD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46223</v>
      </c>
      <c r="F88" t="inlineStr">
        <is>
          <t>KRONOBERGS LÄN</t>
        </is>
      </c>
      <c r="G88" t="inlineStr">
        <is>
          <t>MARKARYD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61274-2021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46223</v>
      </c>
      <c r="F89" t="inlineStr">
        <is>
          <t>KRONOBERGS LÄN</t>
        </is>
      </c>
      <c r="G89" t="inlineStr">
        <is>
          <t>MARKARYD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46223</v>
      </c>
      <c r="F90" t="inlineStr">
        <is>
          <t>KRONOBERGS LÄN</t>
        </is>
      </c>
      <c r="G90" t="inlineStr">
        <is>
          <t>MARKARYD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8939-2024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46223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9617-2024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45361</v>
      </c>
      <c r="E92" s="1" t="n">
        <v>46223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40608-2024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45556</v>
      </c>
      <c r="E93" s="1" t="n">
        <v>46223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46223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45562</v>
      </c>
      <c r="E95" s="1" t="n">
        <v>46223</v>
      </c>
      <c r="F95" t="inlineStr">
        <is>
          <t>KRONOBERGS LÄN</t>
        </is>
      </c>
      <c r="G95" t="inlineStr">
        <is>
          <t>MARKARYD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46223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46223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46223</v>
      </c>
      <c r="F98" t="inlineStr">
        <is>
          <t>KRONOBERGS LÄN</t>
        </is>
      </c>
      <c r="G98" t="inlineStr">
        <is>
          <t>MARKARYD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44565</v>
      </c>
      <c r="E99" s="1" t="n">
        <v>46223</v>
      </c>
      <c r="F99" t="inlineStr">
        <is>
          <t>KRONOBERGS LÄN</t>
        </is>
      </c>
      <c r="G99" t="inlineStr">
        <is>
          <t>MARKARYD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46223</v>
      </c>
      <c r="F100" t="inlineStr">
        <is>
          <t>KRONOBERGS LÄN</t>
        </is>
      </c>
      <c r="G100" t="inlineStr">
        <is>
          <t>MARKARYD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46223</v>
      </c>
      <c r="F101" t="inlineStr">
        <is>
          <t>KRONOBERGS LÄN</t>
        </is>
      </c>
      <c r="G101" t="inlineStr">
        <is>
          <t>MARKARYD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16022-2023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45026</v>
      </c>
      <c r="E102" s="1" t="n">
        <v>46223</v>
      </c>
      <c r="F102" t="inlineStr">
        <is>
          <t>KRONOBERGS LÄN</t>
        </is>
      </c>
      <c r="G102" t="inlineStr">
        <is>
          <t>MARKARYD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46223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46223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11497-2024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46223</v>
      </c>
      <c r="F105" t="inlineStr">
        <is>
          <t>KRONOBERGS LÄN</t>
        </is>
      </c>
      <c r="G105" t="inlineStr">
        <is>
          <t>MARKARYD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46891-2024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46223</v>
      </c>
      <c r="F106" t="inlineStr">
        <is>
          <t>KRONOBERGS LÄN</t>
        </is>
      </c>
      <c r="G106" t="inlineStr">
        <is>
          <t>MARKARYD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45418</v>
      </c>
      <c r="E107" s="1" t="n">
        <v>46223</v>
      </c>
      <c r="F107" t="inlineStr">
        <is>
          <t>KRONOBERGS LÄN</t>
        </is>
      </c>
      <c r="G107" t="inlineStr">
        <is>
          <t>MARKARYD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46049</v>
      </c>
      <c r="E108" s="1" t="n">
        <v>46223</v>
      </c>
      <c r="F108" t="inlineStr">
        <is>
          <t>KRONOBERGS LÄN</t>
        </is>
      </c>
      <c r="G108" t="inlineStr">
        <is>
          <t>MARKARYD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46223</v>
      </c>
      <c r="F109" t="inlineStr">
        <is>
          <t>KRONOBERGS LÄN</t>
        </is>
      </c>
      <c r="G109" t="inlineStr">
        <is>
          <t>MARKARYD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46223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46223</v>
      </c>
      <c r="F111" t="inlineStr">
        <is>
          <t>KRONOBERGS LÄN</t>
        </is>
      </c>
      <c r="G111" t="inlineStr">
        <is>
          <t>MARKARYD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48828-2023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46223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46223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46223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46223</v>
      </c>
      <c r="F115" t="inlineStr">
        <is>
          <t>KRONOBERGS LÄN</t>
        </is>
      </c>
      <c r="G115" t="inlineStr">
        <is>
          <t>MARKARYD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46223</v>
      </c>
      <c r="F116" t="inlineStr">
        <is>
          <t>KRONOBERGS LÄN</t>
        </is>
      </c>
      <c r="G116" t="inlineStr">
        <is>
          <t>MARKARYD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9669-2023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46223</v>
      </c>
      <c r="F117" t="inlineStr">
        <is>
          <t>KRONOBERGS LÄN</t>
        </is>
      </c>
      <c r="G117" t="inlineStr">
        <is>
          <t>MARKARYD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8494-2023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44977</v>
      </c>
      <c r="E118" s="1" t="n">
        <v>46223</v>
      </c>
      <c r="F118" t="inlineStr">
        <is>
          <t>KRONOBERGS LÄN</t>
        </is>
      </c>
      <c r="G118" t="inlineStr">
        <is>
          <t>MARKARYD</t>
        </is>
      </c>
      <c r="I118" t="n">
        <v>13.6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46223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46223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25621-2023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45089</v>
      </c>
      <c r="E121" s="1" t="n">
        <v>46223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46223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46223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46223</v>
      </c>
      <c r="F124" t="inlineStr">
        <is>
          <t>KRONOBERGS LÄN</t>
        </is>
      </c>
      <c r="G124" t="inlineStr">
        <is>
          <t>MARKARYD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33819-2025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46223</v>
      </c>
      <c r="F125" t="inlineStr">
        <is>
          <t>KRONOBERGS LÄN</t>
        </is>
      </c>
      <c r="G125" t="inlineStr">
        <is>
          <t>MARKARYD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44671-2025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46223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33821-2025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46223</v>
      </c>
      <c r="F127" t="inlineStr">
        <is>
          <t>KRONOBERGS LÄN</t>
        </is>
      </c>
      <c r="G127" t="inlineStr">
        <is>
          <t>MARKARYD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46223</v>
      </c>
      <c r="F128" t="inlineStr">
        <is>
          <t>KRONOBERGS LÄN</t>
        </is>
      </c>
      <c r="G128" t="inlineStr">
        <is>
          <t>MARKARYD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46223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45434</v>
      </c>
      <c r="E130" s="1" t="n">
        <v>46223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64916-2023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46223</v>
      </c>
      <c r="F131" t="inlineStr">
        <is>
          <t>KRONOBERGS LÄN</t>
        </is>
      </c>
      <c r="G131" t="inlineStr">
        <is>
          <t>MARKARYD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46223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62309-2023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46223</v>
      </c>
      <c r="F133" t="inlineStr">
        <is>
          <t>KRONOBERGS LÄN</t>
        </is>
      </c>
      <c r="G133" t="inlineStr">
        <is>
          <t>MARKARYD</t>
        </is>
      </c>
      <c r="I133" t="n">
        <v>13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46223</v>
      </c>
      <c r="F134" t="inlineStr">
        <is>
          <t>KRONOBERGS LÄN</t>
        </is>
      </c>
      <c r="G134" t="inlineStr">
        <is>
          <t>MARKARYD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46223</v>
      </c>
      <c r="F135" t="inlineStr">
        <is>
          <t>KRONOBERGS LÄN</t>
        </is>
      </c>
      <c r="G135" t="inlineStr">
        <is>
          <t>MARKARYD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46223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46223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10702-2023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46223</v>
      </c>
      <c r="F138" t="inlineStr">
        <is>
          <t>KRONOBERGS LÄN</t>
        </is>
      </c>
      <c r="G138" t="inlineStr">
        <is>
          <t>MARKARYD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36499-2025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45869</v>
      </c>
      <c r="E139" s="1" t="n">
        <v>46223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38005-2025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45882</v>
      </c>
      <c r="E140" s="1" t="n">
        <v>46223</v>
      </c>
      <c r="F140" t="inlineStr">
        <is>
          <t>KRONOBERGS LÄN</t>
        </is>
      </c>
      <c r="G140" t="inlineStr">
        <is>
          <t>MARKARYD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46223</v>
      </c>
      <c r="F141" t="inlineStr">
        <is>
          <t>KRONOBERGS LÄN</t>
        </is>
      </c>
      <c r="G141" t="inlineStr">
        <is>
          <t>MARKARYD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19233-2025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46223</v>
      </c>
      <c r="F142" t="inlineStr">
        <is>
          <t>KRONOBERGS LÄN</t>
        </is>
      </c>
      <c r="G142" t="inlineStr">
        <is>
          <t>MARKARYD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27365-2024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45473</v>
      </c>
      <c r="E143" s="1" t="n">
        <v>46223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40514-2023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46223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46223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19240-2025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46223</v>
      </c>
      <c r="F146" t="inlineStr">
        <is>
          <t>KRONOBERGS LÄN</t>
        </is>
      </c>
      <c r="G146" t="inlineStr">
        <is>
          <t>MARKARYD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46223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16711-2022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46223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16712-2022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46223</v>
      </c>
      <c r="F149" t="inlineStr">
        <is>
          <t>KRONOBERGS LÄN</t>
        </is>
      </c>
      <c r="G149" t="inlineStr">
        <is>
          <t>MARKARYD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46223</v>
      </c>
      <c r="F150" t="inlineStr">
        <is>
          <t>KRONOBERGS LÄN</t>
        </is>
      </c>
      <c r="G150" t="inlineStr">
        <is>
          <t>MARKARYD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46223</v>
      </c>
      <c r="F151" t="inlineStr">
        <is>
          <t>KRONOBERGS LÄN</t>
        </is>
      </c>
      <c r="G151" t="inlineStr">
        <is>
          <t>MARKARYD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46223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46223</v>
      </c>
      <c r="F153" t="inlineStr">
        <is>
          <t>KRONOBERGS LÄN</t>
        </is>
      </c>
      <c r="G153" t="inlineStr">
        <is>
          <t>MARKARYD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46223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45942</v>
      </c>
      <c r="E155" s="1" t="n">
        <v>46223</v>
      </c>
      <c r="F155" t="inlineStr">
        <is>
          <t>KRONOBERGS LÄN</t>
        </is>
      </c>
      <c r="G155" t="inlineStr">
        <is>
          <t>MARKARYD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46223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46223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53628-2024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46223</v>
      </c>
      <c r="F158" t="inlineStr">
        <is>
          <t>KRONOBERGS LÄN</t>
        </is>
      </c>
      <c r="G158" t="inlineStr">
        <is>
          <t>MARKARYD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50927-2023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46223</v>
      </c>
      <c r="F159" t="inlineStr">
        <is>
          <t>KRONOBERGS LÄN</t>
        </is>
      </c>
      <c r="G159" t="inlineStr">
        <is>
          <t>MARKARYD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46223</v>
      </c>
      <c r="F160" t="inlineStr">
        <is>
          <t>KRONOBERGS LÄN</t>
        </is>
      </c>
      <c r="G160" t="inlineStr">
        <is>
          <t>MARKARYD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35285-2022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46223</v>
      </c>
      <c r="F161" t="inlineStr">
        <is>
          <t>KRONOBERGS LÄN</t>
        </is>
      </c>
      <c r="G161" t="inlineStr">
        <is>
          <t>MARKARYD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7887-2026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46223</v>
      </c>
      <c r="F162" t="inlineStr">
        <is>
          <t>KRONOBERGS LÄN</t>
        </is>
      </c>
      <c r="G162" t="inlineStr">
        <is>
          <t>MARKARYD</t>
        </is>
      </c>
      <c r="I162" t="n">
        <v>16.3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46223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8501-2023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44977</v>
      </c>
      <c r="E164" s="1" t="n">
        <v>46223</v>
      </c>
      <c r="F164" t="inlineStr">
        <is>
          <t>KRONOBERGS LÄN</t>
        </is>
      </c>
      <c r="G164" t="inlineStr">
        <is>
          <t>MARKARYD</t>
        </is>
      </c>
      <c r="I164" t="n">
        <v>20.7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9061-2026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46223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46223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9066-2026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46223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46223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46223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46223</v>
      </c>
      <c r="F170" t="inlineStr">
        <is>
          <t>KRONOBERGS LÄN</t>
        </is>
      </c>
      <c r="G170" t="inlineStr">
        <is>
          <t>MARKARYD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44827-2022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46223</v>
      </c>
      <c r="F171" t="inlineStr">
        <is>
          <t>KRONOBERGS LÄN</t>
        </is>
      </c>
      <c r="G171" t="inlineStr">
        <is>
          <t>MARKARYD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46223</v>
      </c>
      <c r="F172" t="inlineStr">
        <is>
          <t>KRONOBERGS LÄN</t>
        </is>
      </c>
      <c r="G172" t="inlineStr">
        <is>
          <t>MARKARYD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47775-2023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46223</v>
      </c>
      <c r="F173" t="inlineStr">
        <is>
          <t>KRONOBERGS LÄN</t>
        </is>
      </c>
      <c r="G173" t="inlineStr">
        <is>
          <t>MARKARYD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12018-2026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46223</v>
      </c>
      <c r="F174" t="inlineStr">
        <is>
          <t>KRONOBERGS LÄN</t>
        </is>
      </c>
      <c r="G174" t="inlineStr">
        <is>
          <t>MARKARYD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46223</v>
      </c>
      <c r="F175" t="inlineStr">
        <is>
          <t>KRONOBERGS LÄN</t>
        </is>
      </c>
      <c r="G175" t="inlineStr">
        <is>
          <t>MARKARYD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46223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46223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46223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46085</v>
      </c>
      <c r="E179" s="1" t="n">
        <v>46223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46223</v>
      </c>
      <c r="F180" t="inlineStr">
        <is>
          <t>KRONOBERGS LÄN</t>
        </is>
      </c>
      <c r="G180" t="inlineStr">
        <is>
          <t>MARKARYD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12521-2026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46223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46223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40059-2021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44418</v>
      </c>
      <c r="E183" s="1" t="n">
        <v>46223</v>
      </c>
      <c r="F183" t="inlineStr">
        <is>
          <t>KRONOBERGS LÄN</t>
        </is>
      </c>
      <c r="G183" t="inlineStr">
        <is>
          <t>MARKARYD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46223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46223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46223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46223</v>
      </c>
      <c r="F187" t="inlineStr">
        <is>
          <t>KRONOBERGS LÄN</t>
        </is>
      </c>
      <c r="G187" t="inlineStr">
        <is>
          <t>MARKARYD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46223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46223</v>
      </c>
      <c r="F189" t="inlineStr">
        <is>
          <t>KRONOBERGS LÄN</t>
        </is>
      </c>
      <c r="G189" t="inlineStr">
        <is>
          <t>MARKARYD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46223</v>
      </c>
      <c r="F190" t="inlineStr">
        <is>
          <t>KRONOBERGS LÄN</t>
        </is>
      </c>
      <c r="G190" t="inlineStr">
        <is>
          <t>MARKARYD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51065-2021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46223</v>
      </c>
      <c r="F191" t="inlineStr">
        <is>
          <t>KRONOBERGS LÄN</t>
        </is>
      </c>
      <c r="G191" t="inlineStr">
        <is>
          <t>MARKARYD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46223</v>
      </c>
      <c r="F192" t="inlineStr">
        <is>
          <t>KRONOBERGS LÄN</t>
        </is>
      </c>
      <c r="G192" t="inlineStr">
        <is>
          <t>MARKARYD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46223</v>
      </c>
      <c r="F193" t="inlineStr">
        <is>
          <t>KRONOBERGS LÄN</t>
        </is>
      </c>
      <c r="G193" t="inlineStr">
        <is>
          <t>MARKARYD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52737-2021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44467</v>
      </c>
      <c r="E194" s="1" t="n">
        <v>46223</v>
      </c>
      <c r="F194" t="inlineStr">
        <is>
          <t>KRONOBERGS LÄN</t>
        </is>
      </c>
      <c r="G194" t="inlineStr">
        <is>
          <t>MARKARYD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46223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45558</v>
      </c>
      <c r="E196" s="1" t="n">
        <v>46223</v>
      </c>
      <c r="F196" t="inlineStr">
        <is>
          <t>KRONOBERGS LÄN</t>
        </is>
      </c>
      <c r="G196" t="inlineStr">
        <is>
          <t>MARKARYD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46223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14382-2026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46223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46223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46223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20001-2023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46223</v>
      </c>
      <c r="F201" t="inlineStr">
        <is>
          <t>KRONOBERGS LÄN</t>
        </is>
      </c>
      <c r="G201" t="inlineStr">
        <is>
          <t>MARKARYD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14376-2026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46223</v>
      </c>
      <c r="F202" t="inlineStr">
        <is>
          <t>KRONOBERGS LÄN</t>
        </is>
      </c>
      <c r="G202" t="inlineStr">
        <is>
          <t>MARKARYD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46223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46223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46223</v>
      </c>
      <c r="F205" t="inlineStr">
        <is>
          <t>KRONOBERGS LÄN</t>
        </is>
      </c>
      <c r="G205" t="inlineStr">
        <is>
          <t>MARKARYD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46223</v>
      </c>
      <c r="F206" t="inlineStr">
        <is>
          <t>KRONOBERGS LÄN</t>
        </is>
      </c>
      <c r="G206" t="inlineStr">
        <is>
          <t>MARKARYD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46223</v>
      </c>
      <c r="F207" t="inlineStr">
        <is>
          <t>KRONOBERGS LÄN</t>
        </is>
      </c>
      <c r="G207" t="inlineStr">
        <is>
          <t>MARKARYD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22156-2023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46223</v>
      </c>
      <c r="F208" t="inlineStr">
        <is>
          <t>KRONOBERGS LÄN</t>
        </is>
      </c>
      <c r="G208" t="inlineStr">
        <is>
          <t>MARKARYD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63971-2025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46223</v>
      </c>
      <c r="F209" t="inlineStr">
        <is>
          <t>KRONOBERGS LÄN</t>
        </is>
      </c>
      <c r="G209" t="inlineStr">
        <is>
          <t>MARKARYD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64511-2023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46223</v>
      </c>
      <c r="F210" t="inlineStr">
        <is>
          <t>KRONOBERGS LÄN</t>
        </is>
      </c>
      <c r="G210" t="inlineStr">
        <is>
          <t>MARKARYD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52239-2021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46223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46223</v>
      </c>
      <c r="F212" t="inlineStr">
        <is>
          <t>KRONOBERGS LÄN</t>
        </is>
      </c>
      <c r="G212" t="inlineStr">
        <is>
          <t>MARKARYD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46034</v>
      </c>
      <c r="E213" s="1" t="n">
        <v>46223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46223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46223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46223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46223</v>
      </c>
      <c r="F217" t="inlineStr">
        <is>
          <t>KRONOBERGS LÄN</t>
        </is>
      </c>
      <c r="G217" t="inlineStr">
        <is>
          <t>MARKARYD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46223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16219-2026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46223</v>
      </c>
      <c r="F219" t="inlineStr">
        <is>
          <t>KRONOBERGS LÄN</t>
        </is>
      </c>
      <c r="G219" t="inlineStr">
        <is>
          <t>MARKARYD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15731-2023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45021</v>
      </c>
      <c r="E220" s="1" t="n">
        <v>46223</v>
      </c>
      <c r="F220" t="inlineStr">
        <is>
          <t>KRONOBERGS LÄN</t>
        </is>
      </c>
      <c r="G220" t="inlineStr">
        <is>
          <t>MARKARYD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46223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46223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46223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46223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46223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12155-2022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46223</v>
      </c>
      <c r="F226" t="inlineStr">
        <is>
          <t>KRONOBERGS LÄN</t>
        </is>
      </c>
      <c r="G226" t="inlineStr">
        <is>
          <t>MARKARYD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34921-2023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46223</v>
      </c>
      <c r="F227" t="inlineStr">
        <is>
          <t>KRONOBERGS LÄN</t>
        </is>
      </c>
      <c r="G227" t="inlineStr">
        <is>
          <t>MARKARYD</t>
        </is>
      </c>
      <c r="H227" t="inlineStr">
        <is>
          <t>Kyrkan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46223</v>
      </c>
      <c r="F228" t="inlineStr">
        <is>
          <t>KRONOBERGS LÄN</t>
        </is>
      </c>
      <c r="G228" t="inlineStr">
        <is>
          <t>MARKARYD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46223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65581-2021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46223</v>
      </c>
      <c r="F230" t="inlineStr">
        <is>
          <t>KRONOBERGS LÄN</t>
        </is>
      </c>
      <c r="G230" t="inlineStr">
        <is>
          <t>MARKARYD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46223</v>
      </c>
      <c r="F231" t="inlineStr">
        <is>
          <t>KRONOBERGS LÄN</t>
        </is>
      </c>
      <c r="G231" t="inlineStr">
        <is>
          <t>MARKARYD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45288-2023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46223</v>
      </c>
      <c r="F232" t="inlineStr">
        <is>
          <t>KRONOBERGS LÄN</t>
        </is>
      </c>
      <c r="G232" t="inlineStr">
        <is>
          <t>MARKARYD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46223</v>
      </c>
      <c r="F233" t="inlineStr">
        <is>
          <t>KRONOBERGS LÄN</t>
        </is>
      </c>
      <c r="G233" t="inlineStr">
        <is>
          <t>MARKARYD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19439-2026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46223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19443-2026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46223</v>
      </c>
      <c r="F235" t="inlineStr">
        <is>
          <t>KRONOBERGS LÄN</t>
        </is>
      </c>
      <c r="G235" t="inlineStr">
        <is>
          <t>MARKARYD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32427-2024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46223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70327-2021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46223</v>
      </c>
      <c r="F237" t="inlineStr">
        <is>
          <t>KRONOBERGS LÄN</t>
        </is>
      </c>
      <c r="G237" t="inlineStr">
        <is>
          <t>MARKARYD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32384-2025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45837</v>
      </c>
      <c r="E238" s="1" t="n">
        <v>46223</v>
      </c>
      <c r="F238" t="inlineStr">
        <is>
          <t>KRONOBERGS LÄN</t>
        </is>
      </c>
      <c r="G238" t="inlineStr">
        <is>
          <t>MARKARYD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46223</v>
      </c>
      <c r="F239" t="inlineStr">
        <is>
          <t>KRONOBERGS LÄN</t>
        </is>
      </c>
      <c r="G239" t="inlineStr">
        <is>
          <t>MARKARYD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53742-2023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46223</v>
      </c>
      <c r="F240" t="inlineStr">
        <is>
          <t>KRONOBERGS LÄN</t>
        </is>
      </c>
      <c r="G240" t="inlineStr">
        <is>
          <t>MARKARYD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46223</v>
      </c>
      <c r="F241" t="inlineStr">
        <is>
          <t>KRONOBERGS LÄN</t>
        </is>
      </c>
      <c r="G241" t="inlineStr">
        <is>
          <t>MARKARYD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45090</v>
      </c>
      <c r="E242" s="1" t="n">
        <v>46223</v>
      </c>
      <c r="F242" t="inlineStr">
        <is>
          <t>KRONOBERGS LÄN</t>
        </is>
      </c>
      <c r="G242" t="inlineStr">
        <is>
          <t>MARKARYD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46223</v>
      </c>
      <c r="F243" t="inlineStr">
        <is>
          <t>KRONOBERGS LÄN</t>
        </is>
      </c>
      <c r="G243" t="inlineStr">
        <is>
          <t>MARKARYD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46223</v>
      </c>
      <c r="F244" t="inlineStr">
        <is>
          <t>KRONOBERGS LÄN</t>
        </is>
      </c>
      <c r="G244" t="inlineStr">
        <is>
          <t>MARKARYD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46223</v>
      </c>
      <c r="F245" t="inlineStr">
        <is>
          <t>KRONOBERGS LÄN</t>
        </is>
      </c>
      <c r="G245" t="inlineStr">
        <is>
          <t>MARKARYD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46223</v>
      </c>
      <c r="F246" t="inlineStr">
        <is>
          <t>KRONOBERGS LÄN</t>
        </is>
      </c>
      <c r="G246" t="inlineStr">
        <is>
          <t>MARKARYD</t>
        </is>
      </c>
      <c r="H246" t="inlineStr">
        <is>
          <t>Naturvårdsverket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46223</v>
      </c>
      <c r="F247" t="inlineStr">
        <is>
          <t>KRONOBERGS LÄN</t>
        </is>
      </c>
      <c r="G247" t="inlineStr">
        <is>
          <t>MARKARYD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56665-2024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46223</v>
      </c>
      <c r="F248" t="inlineStr">
        <is>
          <t>KRONOBERGS LÄN</t>
        </is>
      </c>
      <c r="G248" t="inlineStr">
        <is>
          <t>MARKARYD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34818-2023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46223</v>
      </c>
      <c r="F249" t="inlineStr">
        <is>
          <t>KRONOBERGS LÄN</t>
        </is>
      </c>
      <c r="G249" t="inlineStr">
        <is>
          <t>MARKARYD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17136-2022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44677</v>
      </c>
      <c r="E250" s="1" t="n">
        <v>46223</v>
      </c>
      <c r="F250" t="inlineStr">
        <is>
          <t>KRONOBERGS LÄN</t>
        </is>
      </c>
      <c r="G250" t="inlineStr">
        <is>
          <t>MARKARYD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46223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46223</v>
      </c>
      <c r="F252" t="inlineStr">
        <is>
          <t>KRONOBERGS LÄN</t>
        </is>
      </c>
      <c r="G252" t="inlineStr">
        <is>
          <t>MARKARYD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46223</v>
      </c>
      <c r="F253" t="inlineStr">
        <is>
          <t>KRONOBERGS LÄN</t>
        </is>
      </c>
      <c r="G253" t="inlineStr">
        <is>
          <t>MARKARYD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45716-2025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46223</v>
      </c>
      <c r="F254" t="inlineStr">
        <is>
          <t>KRONOBERGS LÄN</t>
        </is>
      </c>
      <c r="G254" t="inlineStr">
        <is>
          <t>MARKARYD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46223</v>
      </c>
      <c r="F255" t="inlineStr">
        <is>
          <t>KRONOBERGS LÄN</t>
        </is>
      </c>
      <c r="G255" t="inlineStr">
        <is>
          <t>MARKARYD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45181</v>
      </c>
      <c r="E256" s="1" t="n">
        <v>46223</v>
      </c>
      <c r="F256" t="inlineStr">
        <is>
          <t>KRONOBERGS LÄN</t>
        </is>
      </c>
      <c r="G256" t="inlineStr">
        <is>
          <t>MARKARYD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37884-2023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45160</v>
      </c>
      <c r="E257" s="1" t="n">
        <v>46223</v>
      </c>
      <c r="F257" t="inlineStr">
        <is>
          <t>KRONOBERGS LÄN</t>
        </is>
      </c>
      <c r="G257" t="inlineStr">
        <is>
          <t>MARKARYD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46223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15275-2024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46223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42692-2023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46223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46223</v>
      </c>
      <c r="F261" t="inlineStr">
        <is>
          <t>KRONOBERGS LÄN</t>
        </is>
      </c>
      <c r="G261" t="inlineStr">
        <is>
          <t>MARKARYD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45532</v>
      </c>
      <c r="E262" s="1" t="n">
        <v>46223</v>
      </c>
      <c r="F262" t="inlineStr">
        <is>
          <t>KRONOBERGS LÄN</t>
        </is>
      </c>
      <c r="G262" t="inlineStr">
        <is>
          <t>MARKARYD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46223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33882-2022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46223</v>
      </c>
      <c r="F264" t="inlineStr">
        <is>
          <t>KRONOBERGS LÄN</t>
        </is>
      </c>
      <c r="G264" t="inlineStr">
        <is>
          <t>MARKARYD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64776-2023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46223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45296</v>
      </c>
      <c r="E266" s="1" t="n">
        <v>46223</v>
      </c>
      <c r="F266" t="inlineStr">
        <is>
          <t>KRONOBERGS LÄN</t>
        </is>
      </c>
      <c r="G266" t="inlineStr">
        <is>
          <t>MARKARYD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45306</v>
      </c>
      <c r="E267" s="1" t="n">
        <v>46223</v>
      </c>
      <c r="F267" t="inlineStr">
        <is>
          <t>KRONOBERGS LÄN</t>
        </is>
      </c>
      <c r="G267" t="inlineStr">
        <is>
          <t>MARKARYD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46223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59985-2023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46223</v>
      </c>
      <c r="F269" t="inlineStr">
        <is>
          <t>KRONOBERGS LÄN</t>
        </is>
      </c>
      <c r="G269" t="inlineStr">
        <is>
          <t>MARKARYD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53505-2023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46223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46223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46223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46223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46223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46223</v>
      </c>
      <c r="F275" t="inlineStr">
        <is>
          <t>KRONOBERGS LÄN</t>
        </is>
      </c>
      <c r="G275" t="inlineStr">
        <is>
          <t>MARKARYD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61639-2023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46223</v>
      </c>
      <c r="F276" t="inlineStr">
        <is>
          <t>KRONOBERGS LÄN</t>
        </is>
      </c>
      <c r="G276" t="inlineStr">
        <is>
          <t>MARKARYD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62518-2023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46223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46223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54819-2023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46223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46223</v>
      </c>
      <c r="F280" t="inlineStr">
        <is>
          <t>KRONOBERGS LÄN</t>
        </is>
      </c>
      <c r="G280" t="inlineStr">
        <is>
          <t>MARKARYD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57437-2025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46223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46223</v>
      </c>
      <c r="F282" t="inlineStr">
        <is>
          <t>KRONOBERGS LÄN</t>
        </is>
      </c>
      <c r="G282" t="inlineStr">
        <is>
          <t>MARKARYD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46223</v>
      </c>
      <c r="F283" t="inlineStr">
        <is>
          <t>KRONOBERGS LÄN</t>
        </is>
      </c>
      <c r="G283" t="inlineStr">
        <is>
          <t>MARKARYD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73861-2021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46223</v>
      </c>
      <c r="F284" t="inlineStr">
        <is>
          <t>KRONOBERGS LÄN</t>
        </is>
      </c>
      <c r="G284" t="inlineStr">
        <is>
          <t>MARKARYD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60457-2022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44911</v>
      </c>
      <c r="E285" s="1" t="n">
        <v>46223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44461</v>
      </c>
      <c r="E286" s="1" t="n">
        <v>46223</v>
      </c>
      <c r="F286" t="inlineStr">
        <is>
          <t>KRONOBERGS LÄN</t>
        </is>
      </c>
      <c r="G286" t="inlineStr">
        <is>
          <t>MARKARYD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45000</v>
      </c>
      <c r="E287" s="1" t="n">
        <v>46223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6554-2022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46223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46223</v>
      </c>
      <c r="F289" t="inlineStr">
        <is>
          <t>KRONOBERGS LÄN</t>
        </is>
      </c>
      <c r="G289" t="inlineStr">
        <is>
          <t>MARKARYD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44581</v>
      </c>
      <c r="E290" s="1" t="n">
        <v>46223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69361-2021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46223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60813-2025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46223</v>
      </c>
      <c r="F292" t="inlineStr">
        <is>
          <t>KRONOBERGS LÄN</t>
        </is>
      </c>
      <c r="G292" t="inlineStr">
        <is>
          <t>MARKARYD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22671-2026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46155</v>
      </c>
      <c r="E293" s="1" t="n">
        <v>46223</v>
      </c>
      <c r="F293" t="inlineStr">
        <is>
          <t>KRONOBERGS LÄN</t>
        </is>
      </c>
      <c r="G293" t="inlineStr">
        <is>
          <t>MARKARYD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46223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46223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46223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46223</v>
      </c>
      <c r="F297" t="inlineStr">
        <is>
          <t>KRONOBERGS LÄN</t>
        </is>
      </c>
      <c r="G297" t="inlineStr">
        <is>
          <t>MARKARYD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64507-2023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46223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64508-2023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46223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13148-2022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46223</v>
      </c>
      <c r="F300" t="inlineStr">
        <is>
          <t>KRONOBERGS LÄN</t>
        </is>
      </c>
      <c r="G300" t="inlineStr">
        <is>
          <t>MARKARYD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54926-2023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45236</v>
      </c>
      <c r="E301" s="1" t="n">
        <v>46223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45462</v>
      </c>
      <c r="E302" s="1" t="n">
        <v>46223</v>
      </c>
      <c r="F302" t="inlineStr">
        <is>
          <t>KRONOBERGS LÄN</t>
        </is>
      </c>
      <c r="G302" t="inlineStr">
        <is>
          <t>MARKARYD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55332-2022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46223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46223</v>
      </c>
      <c r="F304" t="inlineStr">
        <is>
          <t>KRONOBERGS LÄN</t>
        </is>
      </c>
      <c r="G304" t="inlineStr">
        <is>
          <t>MARKARYD</t>
        </is>
      </c>
      <c r="H304" t="inlineStr">
        <is>
          <t>Övriga Aktiebolag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50781-2024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46223</v>
      </c>
      <c r="F305" t="inlineStr">
        <is>
          <t>KRONOBERGS LÄN</t>
        </is>
      </c>
      <c r="G305" t="inlineStr">
        <is>
          <t>MARKARYD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20774-2026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46223</v>
      </c>
      <c r="F306" t="inlineStr">
        <is>
          <t>KRONOBERGS LÄN</t>
        </is>
      </c>
      <c r="G306" t="inlineStr">
        <is>
          <t>MARKARYD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46223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46223</v>
      </c>
      <c r="F308" t="inlineStr">
        <is>
          <t>KRONOBERGS LÄN</t>
        </is>
      </c>
      <c r="G308" t="inlineStr">
        <is>
          <t>MARKARYD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9276-2022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46223</v>
      </c>
      <c r="F309" t="inlineStr">
        <is>
          <t>KRONOBERGS LÄN</t>
        </is>
      </c>
      <c r="G309" t="inlineStr">
        <is>
          <t>MARKARYD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46223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46223</v>
      </c>
      <c r="F311" t="inlineStr">
        <is>
          <t>KRONOBERGS LÄN</t>
        </is>
      </c>
      <c r="G311" t="inlineStr">
        <is>
          <t>MARKARYD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30340-2022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46223</v>
      </c>
      <c r="F312" t="inlineStr">
        <is>
          <t>KRONOBERGS LÄN</t>
        </is>
      </c>
      <c r="G312" t="inlineStr">
        <is>
          <t>MARKARYD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60531-2022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46223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44601</v>
      </c>
      <c r="E314" s="1" t="n">
        <v>46223</v>
      </c>
      <c r="F314" t="inlineStr">
        <is>
          <t>KRONOBERGS LÄN</t>
        </is>
      </c>
      <c r="G314" t="inlineStr">
        <is>
          <t>MARKARYD</t>
        </is>
      </c>
      <c r="H314" t="inlineStr">
        <is>
          <t>Kommuner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6561-2022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44601</v>
      </c>
      <c r="E315" s="1" t="n">
        <v>46223</v>
      </c>
      <c r="F315" t="inlineStr">
        <is>
          <t>KRONOBERGS LÄN</t>
        </is>
      </c>
      <c r="G315" t="inlineStr">
        <is>
          <t>MARKARYD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30225-2026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46223</v>
      </c>
      <c r="F316" t="inlineStr">
        <is>
          <t>KRONOBERGS LÄN</t>
        </is>
      </c>
      <c r="G316" t="inlineStr">
        <is>
          <t>MARKARYD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46223</v>
      </c>
      <c r="F317" t="inlineStr">
        <is>
          <t>KRONOBERGS LÄN</t>
        </is>
      </c>
      <c r="G317" t="inlineStr">
        <is>
          <t>MARKARYD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23432-2026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46223</v>
      </c>
      <c r="F318" t="inlineStr">
        <is>
          <t>KRONOBERGS LÄN</t>
        </is>
      </c>
      <c r="G318" t="inlineStr">
        <is>
          <t>MARKARYD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46223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46223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46223</v>
      </c>
      <c r="F321" t="inlineStr">
        <is>
          <t>KRONOBERGS LÄN</t>
        </is>
      </c>
      <c r="G321" t="inlineStr">
        <is>
          <t>MARKARYD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46223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44928</v>
      </c>
      <c r="E323" s="1" t="n">
        <v>46223</v>
      </c>
      <c r="F323" t="inlineStr">
        <is>
          <t>KRONOBERGS LÄN</t>
        </is>
      </c>
      <c r="G323" t="inlineStr">
        <is>
          <t>MARKARYD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46223</v>
      </c>
      <c r="F324" t="inlineStr">
        <is>
          <t>KRONOBERGS LÄN</t>
        </is>
      </c>
      <c r="G324" t="inlineStr">
        <is>
          <t>MARKARYD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24191-2026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46223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11470-2024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46223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64854-2023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46223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45404</v>
      </c>
      <c r="E328" s="1" t="n">
        <v>46223</v>
      </c>
      <c r="F328" t="inlineStr">
        <is>
          <t>KRONOBERGS LÄN</t>
        </is>
      </c>
      <c r="G328" t="inlineStr">
        <is>
          <t>MARKARYD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46223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30613-2026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46223</v>
      </c>
      <c r="F330" t="inlineStr">
        <is>
          <t>KRONOBERGS LÄN</t>
        </is>
      </c>
      <c r="G330" t="inlineStr">
        <is>
          <t>MARKARYD</t>
        </is>
      </c>
      <c r="H330" t="inlineStr">
        <is>
          <t>Kommuner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39057-2024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46223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30931-2026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46223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46223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45671</v>
      </c>
      <c r="E334" s="1" t="n">
        <v>46223</v>
      </c>
      <c r="F334" t="inlineStr">
        <is>
          <t>KRONOBERGS LÄN</t>
        </is>
      </c>
      <c r="G334" t="inlineStr">
        <is>
          <t>MARKARYD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25160-2026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46175</v>
      </c>
      <c r="E335" s="1" t="n">
        <v>46223</v>
      </c>
      <c r="F335" t="inlineStr">
        <is>
          <t>KRONOBERGS LÄN</t>
        </is>
      </c>
      <c r="G335" t="inlineStr">
        <is>
          <t>MARKARYD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46223</v>
      </c>
      <c r="F336" t="inlineStr">
        <is>
          <t>KRONOBERGS LÄN</t>
        </is>
      </c>
      <c r="G336" t="inlineStr">
        <is>
          <t>MARKARYD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46223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46223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46223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46223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46223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46223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46223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46223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46223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46223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46223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46223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46223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46223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46223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46223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46223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46223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46223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46223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46223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46223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46223</v>
      </c>
      <c r="F359" t="inlineStr">
        <is>
          <t>KRONOBERGS LÄN</t>
        </is>
      </c>
      <c r="G359" t="inlineStr">
        <is>
          <t>MARKARYD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25423-2025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46223</v>
      </c>
      <c r="F360" t="inlineStr">
        <is>
          <t>KRONOBERGS LÄN</t>
        </is>
      </c>
      <c r="G360" t="inlineStr">
        <is>
          <t>MARKARYD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46223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46223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46223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46223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46223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46223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46223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46223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46223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46223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46223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46223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2026-07-20T01:48:23Z</dcterms:created>
  <dcterms:modified xmlns:dcterms="http://purl.org/dc/terms/" xmlns:xsi="http://www.w3.org/2001/XMLSchema-instance" xsi:type="dcterms:W3CDTF">2026-07-20T01:48:23Z</dcterms:modified>
</cp:coreProperties>
</file>