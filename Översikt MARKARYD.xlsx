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46261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12528-2026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46090</v>
      </c>
      <c r="E9" s="1" t="n">
        <v>46261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5.4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Borsttåg</t>
        </is>
      </c>
      <c r="W9">
        <f>HYPERLINK("https://klasma.github.io/Logging_0767/artfynd/A 12528-2026 artfynd.xlsx", "A 12528-2026")</f>
        <v/>
      </c>
      <c r="X9">
        <f>HYPERLINK("https://klasma.github.io/Logging_0767/kartor/A 12528-2026 karta.png", "A 12528-2026")</f>
        <v/>
      </c>
      <c r="Y9">
        <f>HYPERLINK("https://klasma.github.io/Logging_0767/kartor_geotiff/A 12528-2026 georefererad karta.tif", "A 12528-2026")</f>
        <v/>
      </c>
      <c r="AA9">
        <f>HYPERLINK("https://klasma.github.io/Logging_0767/klagomål/A 12528-2026 FSC-klagomål.docx", "A 12528-2026")</f>
        <v/>
      </c>
      <c r="AB9">
        <f>HYPERLINK("https://klasma.github.io/Logging_0767/klagomålsmail/A 12528-2026 FSC-klagomål mail.docx", "A 12528-2026")</f>
        <v/>
      </c>
      <c r="AC9">
        <f>HYPERLINK("https://klasma.github.io/Logging_0767/tillsyn/A 12528-2026 tillsynsbegäran.docx", "A 12528-2026")</f>
        <v/>
      </c>
      <c r="AD9">
        <f>HYPERLINK("https://klasma.github.io/Logging_0767/tillsynsmail/A 12528-2026 tillsynsbegäran mail.docx", "A 12528-2026")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46261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46261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46261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46261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46261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7501-2024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45347</v>
      </c>
      <c r="E15" s="1" t="n">
        <v>46261</v>
      </c>
      <c r="F15" t="inlineStr">
        <is>
          <t>KRONOBERGS LÄN</t>
        </is>
      </c>
      <c r="G15" t="inlineStr">
        <is>
          <t>MARKARYD</t>
        </is>
      </c>
      <c r="I15" t="n">
        <v>15.1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Västlig hakmossa</t>
        </is>
      </c>
      <c r="W15">
        <f>HYPERLINK("https://klasma.github.io/Logging_0767/artfynd/A 7501-2024 artfynd.xlsx", "A 7501-2024")</f>
        <v/>
      </c>
      <c r="X15">
        <f>HYPERLINK("https://klasma.github.io/Logging_0767/kartor/A 7501-2024 karta.png", "A 7501-2024")</f>
        <v/>
      </c>
      <c r="Y15">
        <f>HYPERLINK("https://klasma.github.io/Logging_0767/kartor_geotiff/A 7501-2024 georefererad karta.tif", "A 7501-2024")</f>
        <v/>
      </c>
      <c r="AA15">
        <f>HYPERLINK("https://klasma.github.io/Logging_0767/klagomål/A 7501-2024 FSC-klagomål.docx", "A 7501-2024")</f>
        <v/>
      </c>
      <c r="AB15">
        <f>HYPERLINK("https://klasma.github.io/Logging_0767/klagomålsmail/A 7501-2024 FSC-klagomål mail.docx", "A 7501-2024")</f>
        <v/>
      </c>
      <c r="AC15">
        <f>HYPERLINK("https://klasma.github.io/Logging_0767/tillsyn/A 7501-2024 tillsynsbegäran.docx", "A 7501-2024")</f>
        <v/>
      </c>
      <c r="AD15">
        <f>HYPERLINK("https://klasma.github.io/Logging_0767/tillsynsmail/A 7501-2024 tillsynsbegäran mail.docx", "A 7501-2024")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46261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46261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46261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46261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46261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46261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46261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46261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46261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46261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46261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46261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46261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46261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46261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46261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46261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46261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46261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46261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46261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46261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46261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46261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46261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46261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46261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46261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46261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46261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46261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46261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46261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46261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46261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46261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46261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46261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46261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46261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46261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46261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46261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46261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46261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46261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46261</v>
      </c>
      <c r="F68" t="inlineStr">
        <is>
          <t>KRONOBERGS LÄN</t>
        </is>
      </c>
      <c r="G68" t="inlineStr">
        <is>
          <t>MARKARYD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46261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46261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46261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46261</v>
      </c>
      <c r="F72" t="inlineStr">
        <is>
          <t>KRONOBERGS LÄN</t>
        </is>
      </c>
      <c r="G72" t="inlineStr">
        <is>
          <t>MARKARYD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46261</v>
      </c>
      <c r="F73" t="inlineStr">
        <is>
          <t>KRONOBERGS LÄN</t>
        </is>
      </c>
      <c r="G73" t="inlineStr">
        <is>
          <t>MARKARYD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46261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46261</v>
      </c>
      <c r="F75" t="inlineStr">
        <is>
          <t>KRONOBERGS LÄN</t>
        </is>
      </c>
      <c r="G75" t="inlineStr">
        <is>
          <t>MARKARYD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45797</v>
      </c>
      <c r="E76" s="1" t="n">
        <v>46261</v>
      </c>
      <c r="F76" t="inlineStr">
        <is>
          <t>KRONOBERGS LÄN</t>
        </is>
      </c>
      <c r="G76" t="inlineStr">
        <is>
          <t>MARKARYD</t>
        </is>
      </c>
      <c r="H76" t="inlineStr">
        <is>
          <t>Kyrkan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1682-2026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46034</v>
      </c>
      <c r="E77" s="1" t="n">
        <v>46261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45040</v>
      </c>
      <c r="E78" s="1" t="n">
        <v>46261</v>
      </c>
      <c r="F78" t="inlineStr">
        <is>
          <t>KRONOBERGS LÄN</t>
        </is>
      </c>
      <c r="G78" t="inlineStr">
        <is>
          <t>MARKARYD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46261</v>
      </c>
      <c r="F79" t="inlineStr">
        <is>
          <t>KRONOBERGS LÄN</t>
        </is>
      </c>
      <c r="G79" t="inlineStr">
        <is>
          <t>MARKARYD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46261</v>
      </c>
      <c r="F80" t="inlineStr">
        <is>
          <t>KRONOBERGS LÄN</t>
        </is>
      </c>
      <c r="G80" t="inlineStr">
        <is>
          <t>MARKARYD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46261</v>
      </c>
      <c r="F81" t="inlineStr">
        <is>
          <t>KRONOBERGS LÄN</t>
        </is>
      </c>
      <c r="G81" t="inlineStr">
        <is>
          <t>MARKARYD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46261</v>
      </c>
      <c r="F82" t="inlineStr">
        <is>
          <t>KRONOBERGS LÄN</t>
        </is>
      </c>
      <c r="G82" t="inlineStr">
        <is>
          <t>MARKARYD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46261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45275</v>
      </c>
      <c r="E84" s="1" t="n">
        <v>46261</v>
      </c>
      <c r="F84" t="inlineStr">
        <is>
          <t>KRONOBERGS LÄN</t>
        </is>
      </c>
      <c r="G84" t="inlineStr">
        <is>
          <t>MARKARYD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46261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46049</v>
      </c>
      <c r="E86" s="1" t="n">
        <v>46261</v>
      </c>
      <c r="F86" t="inlineStr">
        <is>
          <t>KRONOBERGS LÄN</t>
        </is>
      </c>
      <c r="G86" t="inlineStr">
        <is>
          <t>MARKARYD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46261</v>
      </c>
      <c r="F87" t="inlineStr">
        <is>
          <t>KRONOBERGS LÄN</t>
        </is>
      </c>
      <c r="G87" t="inlineStr">
        <is>
          <t>MARKARYD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46049</v>
      </c>
      <c r="E88" s="1" t="n">
        <v>46261</v>
      </c>
      <c r="F88" t="inlineStr">
        <is>
          <t>KRONOBERGS LÄN</t>
        </is>
      </c>
      <c r="G88" t="inlineStr">
        <is>
          <t>MARKARYD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46261</v>
      </c>
      <c r="F89" t="inlineStr">
        <is>
          <t>KRONOBERGS LÄN</t>
        </is>
      </c>
      <c r="G89" t="inlineStr">
        <is>
          <t>MARKARYD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46261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44848</v>
      </c>
      <c r="E91" s="1" t="n">
        <v>46261</v>
      </c>
      <c r="F91" t="inlineStr">
        <is>
          <t>KRONOBERGS LÄN</t>
        </is>
      </c>
      <c r="G91" t="inlineStr">
        <is>
          <t>MARKARYD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46261</v>
      </c>
      <c r="F92" t="inlineStr">
        <is>
          <t>KRONOBERGS LÄN</t>
        </is>
      </c>
      <c r="G92" t="inlineStr">
        <is>
          <t>MARKARYD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46261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46261</v>
      </c>
      <c r="F94" t="inlineStr">
        <is>
          <t>KRONOBERGS LÄN</t>
        </is>
      </c>
      <c r="G94" t="inlineStr">
        <is>
          <t>MARKARYD</t>
        </is>
      </c>
      <c r="I94" t="n">
        <v>16.3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46261</v>
      </c>
      <c r="F95" t="inlineStr">
        <is>
          <t>KRONOBERGS LÄN</t>
        </is>
      </c>
      <c r="G95" t="inlineStr">
        <is>
          <t>MARKARYD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46261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46261</v>
      </c>
      <c r="F97" t="inlineStr">
        <is>
          <t>KRONOBERGS LÄN</t>
        </is>
      </c>
      <c r="G97" t="inlineStr">
        <is>
          <t>MARKARYD</t>
        </is>
      </c>
      <c r="H97" t="inlineStr">
        <is>
          <t>Sveaskog</t>
        </is>
      </c>
      <c r="I97" t="n">
        <v>11.2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46261</v>
      </c>
      <c r="F98" t="inlineStr">
        <is>
          <t>KRONOBERGS LÄN</t>
        </is>
      </c>
      <c r="G98" t="inlineStr">
        <is>
          <t>MARKARYD</t>
        </is>
      </c>
      <c r="H98" t="inlineStr">
        <is>
          <t>Sveaskog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46261</v>
      </c>
      <c r="F99" t="inlineStr">
        <is>
          <t>KRONOBERGS LÄN</t>
        </is>
      </c>
      <c r="G99" t="inlineStr">
        <is>
          <t>MARKARYD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46261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46261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46261</v>
      </c>
      <c r="F102" t="inlineStr">
        <is>
          <t>KRONOBERGS LÄN</t>
        </is>
      </c>
      <c r="G102" t="inlineStr">
        <is>
          <t>MARKARYD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46261</v>
      </c>
      <c r="F103" t="inlineStr">
        <is>
          <t>KRONOBERGS LÄN</t>
        </is>
      </c>
      <c r="G103" t="inlineStr">
        <is>
          <t>MARKARYD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46261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46261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46085</v>
      </c>
      <c r="E106" s="1" t="n">
        <v>46261</v>
      </c>
      <c r="F106" t="inlineStr">
        <is>
          <t>KRONOBERGS LÄN</t>
        </is>
      </c>
      <c r="G106" t="inlineStr">
        <is>
          <t>MARKARYD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46085</v>
      </c>
      <c r="E107" s="1" t="n">
        <v>46261</v>
      </c>
      <c r="F107" t="inlineStr">
        <is>
          <t>KRONOBERGS LÄN</t>
        </is>
      </c>
      <c r="G107" t="inlineStr">
        <is>
          <t>MARKARYD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46261</v>
      </c>
      <c r="F108" t="inlineStr">
        <is>
          <t>KRONOBERGS LÄN</t>
        </is>
      </c>
      <c r="G108" t="inlineStr">
        <is>
          <t>MARKARYD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46261</v>
      </c>
      <c r="F109" t="inlineStr">
        <is>
          <t>KRONOBERGS LÄN</t>
        </is>
      </c>
      <c r="G109" t="inlineStr">
        <is>
          <t>MARKARYD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46261</v>
      </c>
      <c r="F110" t="inlineStr">
        <is>
          <t>KRONOBERGS LÄN</t>
        </is>
      </c>
      <c r="G110" t="inlineStr">
        <is>
          <t>MARKARYD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46261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46261</v>
      </c>
      <c r="F112" t="inlineStr">
        <is>
          <t>KRONOBERGS LÄN</t>
        </is>
      </c>
      <c r="G112" t="inlineStr">
        <is>
          <t>MARKARYD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46085</v>
      </c>
      <c r="E113" s="1" t="n">
        <v>46261</v>
      </c>
      <c r="F113" t="inlineStr">
        <is>
          <t>KRONOBERGS LÄN</t>
        </is>
      </c>
      <c r="G113" t="inlineStr">
        <is>
          <t>MARKARYD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46261</v>
      </c>
      <c r="F114" t="inlineStr">
        <is>
          <t>KRONOBERGS LÄN</t>
        </is>
      </c>
      <c r="G114" t="inlineStr">
        <is>
          <t>MARKARYD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32024-2023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46261</v>
      </c>
      <c r="F115" t="inlineStr">
        <is>
          <t>KRONOBERGS LÄN</t>
        </is>
      </c>
      <c r="G115" t="inlineStr">
        <is>
          <t>MARKARYD</t>
        </is>
      </c>
      <c r="H115" t="inlineStr">
        <is>
          <t>Kyrkan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46261</v>
      </c>
      <c r="F116" t="inlineStr">
        <is>
          <t>KRONOBERGS LÄN</t>
        </is>
      </c>
      <c r="G116" t="inlineStr">
        <is>
          <t>MARKARYD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46090</v>
      </c>
      <c r="E117" s="1" t="n">
        <v>46261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46261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12524-2026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46261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46261</v>
      </c>
      <c r="F120" t="inlineStr">
        <is>
          <t>KRONOBERGS LÄN</t>
        </is>
      </c>
      <c r="G120" t="inlineStr">
        <is>
          <t>MARKARYD</t>
        </is>
      </c>
      <c r="H120" t="inlineStr">
        <is>
          <t>Sveaskog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46090</v>
      </c>
      <c r="E121" s="1" t="n">
        <v>46261</v>
      </c>
      <c r="F121" t="inlineStr">
        <is>
          <t>KRONOBERGS LÄN</t>
        </is>
      </c>
      <c r="G121" t="inlineStr">
        <is>
          <t>MARKARYD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46261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46261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46261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44835</v>
      </c>
      <c r="E125" s="1" t="n">
        <v>46261</v>
      </c>
      <c r="F125" t="inlineStr">
        <is>
          <t>KRONOBERGS LÄN</t>
        </is>
      </c>
      <c r="G125" t="inlineStr">
        <is>
          <t>MARKARYD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44498</v>
      </c>
      <c r="E126" s="1" t="n">
        <v>46261</v>
      </c>
      <c r="F126" t="inlineStr">
        <is>
          <t>KRONOBERGS LÄN</t>
        </is>
      </c>
      <c r="G126" t="inlineStr">
        <is>
          <t>MARKARYD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45085</v>
      </c>
      <c r="E127" s="1" t="n">
        <v>46261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46261</v>
      </c>
      <c r="F128" t="inlineStr">
        <is>
          <t>KRONOBERGS LÄN</t>
        </is>
      </c>
      <c r="G128" t="inlineStr">
        <is>
          <t>MARKARYD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45942</v>
      </c>
      <c r="E129" s="1" t="n">
        <v>46261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38005-2025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45882</v>
      </c>
      <c r="E130" s="1" t="n">
        <v>46261</v>
      </c>
      <c r="F130" t="inlineStr">
        <is>
          <t>KRONOBERGS LÄN</t>
        </is>
      </c>
      <c r="G130" t="inlineStr">
        <is>
          <t>MARKARYD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46261</v>
      </c>
      <c r="F131" t="inlineStr">
        <is>
          <t>KRONOBERGS LÄN</t>
        </is>
      </c>
      <c r="G131" t="inlineStr">
        <is>
          <t>MARKARYD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46261</v>
      </c>
      <c r="F132" t="inlineStr">
        <is>
          <t>KRONOBERGS LÄN</t>
        </is>
      </c>
      <c r="G132" t="inlineStr">
        <is>
          <t>MARKARYD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46261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46261</v>
      </c>
      <c r="F134" t="inlineStr">
        <is>
          <t>KRONOBERGS LÄN</t>
        </is>
      </c>
      <c r="G134" t="inlineStr">
        <is>
          <t>MARKARYD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45769</v>
      </c>
      <c r="E135" s="1" t="n">
        <v>46261</v>
      </c>
      <c r="F135" t="inlineStr">
        <is>
          <t>KRONOBERGS LÄN</t>
        </is>
      </c>
      <c r="G135" t="inlineStr">
        <is>
          <t>MARKARYD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44673</v>
      </c>
      <c r="E136" s="1" t="n">
        <v>46261</v>
      </c>
      <c r="F136" t="inlineStr">
        <is>
          <t>KRONOBERGS LÄN</t>
        </is>
      </c>
      <c r="G136" t="inlineStr">
        <is>
          <t>MARKARYD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44673</v>
      </c>
      <c r="E137" s="1" t="n">
        <v>46261</v>
      </c>
      <c r="F137" t="inlineStr">
        <is>
          <t>KRONOBERGS LÄN</t>
        </is>
      </c>
      <c r="G137" t="inlineStr">
        <is>
          <t>MARKARYD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44579</v>
      </c>
      <c r="E138" s="1" t="n">
        <v>46261</v>
      </c>
      <c r="F138" t="inlineStr">
        <is>
          <t>KRONOBERGS LÄN</t>
        </is>
      </c>
      <c r="G138" t="inlineStr">
        <is>
          <t>MARKARYD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46261</v>
      </c>
      <c r="F139" t="inlineStr">
        <is>
          <t>KRONOBERGS LÄN</t>
        </is>
      </c>
      <c r="G139" t="inlineStr">
        <is>
          <t>MARKARYD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46261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37610-2025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45880</v>
      </c>
      <c r="E141" s="1" t="n">
        <v>46261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46261</v>
      </c>
      <c r="F142" t="inlineStr">
        <is>
          <t>KRONOBERGS LÄN</t>
        </is>
      </c>
      <c r="G142" t="inlineStr">
        <is>
          <t>MARKARYD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46261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44875</v>
      </c>
      <c r="E144" s="1" t="n">
        <v>46261</v>
      </c>
      <c r="F144" t="inlineStr">
        <is>
          <t>KRONOBERGS LÄN</t>
        </is>
      </c>
      <c r="G144" t="inlineStr">
        <is>
          <t>MARKARYD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46261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46261</v>
      </c>
      <c r="F146" t="inlineStr">
        <is>
          <t>KRONOBERGS LÄN</t>
        </is>
      </c>
      <c r="G146" t="inlineStr">
        <is>
          <t>MARKARYD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46261</v>
      </c>
      <c r="F147" t="inlineStr">
        <is>
          <t>KRONOBERGS LÄN</t>
        </is>
      </c>
      <c r="G147" t="inlineStr">
        <is>
          <t>MARKARYD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46261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46261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46261</v>
      </c>
      <c r="F150" t="inlineStr">
        <is>
          <t>KRONOBERGS LÄN</t>
        </is>
      </c>
      <c r="G150" t="inlineStr">
        <is>
          <t>MARKARYD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46261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46261</v>
      </c>
      <c r="F152" t="inlineStr">
        <is>
          <t>KRONOBERGS LÄN</t>
        </is>
      </c>
      <c r="G152" t="inlineStr">
        <is>
          <t>MARKARYD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46261</v>
      </c>
      <c r="F153" t="inlineStr">
        <is>
          <t>KRONOBERGS LÄN</t>
        </is>
      </c>
      <c r="G153" t="inlineStr">
        <is>
          <t>MARKARYD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74006-2021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46261</v>
      </c>
      <c r="F154" t="inlineStr">
        <is>
          <t>KRONOBERGS LÄN</t>
        </is>
      </c>
      <c r="G154" t="inlineStr">
        <is>
          <t>MARKARYD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44565</v>
      </c>
      <c r="E155" s="1" t="n">
        <v>46261</v>
      </c>
      <c r="F155" t="inlineStr">
        <is>
          <t>KRONOBERGS LÄN</t>
        </is>
      </c>
      <c r="G155" t="inlineStr">
        <is>
          <t>MARKARYD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46261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45837</v>
      </c>
      <c r="E157" s="1" t="n">
        <v>46261</v>
      </c>
      <c r="F157" t="inlineStr">
        <is>
          <t>KRONOBERGS LÄN</t>
        </is>
      </c>
      <c r="G157" t="inlineStr">
        <is>
          <t>MARKARYD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44950</v>
      </c>
      <c r="E158" s="1" t="n">
        <v>46261</v>
      </c>
      <c r="F158" t="inlineStr">
        <is>
          <t>KRONOBERGS LÄN</t>
        </is>
      </c>
      <c r="G158" t="inlineStr">
        <is>
          <t>MARKARYD</t>
        </is>
      </c>
      <c r="I158" t="n">
        <v>13.2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16022-2023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45026</v>
      </c>
      <c r="E159" s="1" t="n">
        <v>46261</v>
      </c>
      <c r="F159" t="inlineStr">
        <is>
          <t>KRONOBERGS LÄN</t>
        </is>
      </c>
      <c r="G159" t="inlineStr">
        <is>
          <t>MARKARYD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46261</v>
      </c>
      <c r="F160" t="inlineStr">
        <is>
          <t>KRONOBERGS LÄN</t>
        </is>
      </c>
      <c r="G160" t="inlineStr">
        <is>
          <t>MARKARYD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46261</v>
      </c>
      <c r="F161" t="inlineStr">
        <is>
          <t>KRONOBERGS LÄN</t>
        </is>
      </c>
      <c r="G161" t="inlineStr">
        <is>
          <t>MARKARYD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46261</v>
      </c>
      <c r="F162" t="inlineStr">
        <is>
          <t>KRONOBERGS LÄN</t>
        </is>
      </c>
      <c r="G162" t="inlineStr">
        <is>
          <t>MARKARYD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46261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45564</v>
      </c>
      <c r="E164" s="1" t="n">
        <v>46261</v>
      </c>
      <c r="F164" t="inlineStr">
        <is>
          <t>KRONOBERGS LÄN</t>
        </is>
      </c>
      <c r="G164" t="inlineStr">
        <is>
          <t>MARKARYD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46261</v>
      </c>
      <c r="F165" t="inlineStr">
        <is>
          <t>KRONOBERGS LÄN</t>
        </is>
      </c>
      <c r="G165" t="inlineStr">
        <is>
          <t>MARKARYD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46261</v>
      </c>
      <c r="F166" t="inlineStr">
        <is>
          <t>KRONOBERGS LÄN</t>
        </is>
      </c>
      <c r="G166" t="inlineStr">
        <is>
          <t>MARKARYD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46261</v>
      </c>
      <c r="F167" t="inlineStr">
        <is>
          <t>KRONOBERGS LÄN</t>
        </is>
      </c>
      <c r="G167" t="inlineStr">
        <is>
          <t>MARKARYD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46261</v>
      </c>
      <c r="F168" t="inlineStr">
        <is>
          <t>KRONOBERGS LÄN</t>
        </is>
      </c>
      <c r="G168" t="inlineStr">
        <is>
          <t>MARKARYD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46261</v>
      </c>
      <c r="F169" t="inlineStr">
        <is>
          <t>KRONOBERGS LÄN</t>
        </is>
      </c>
      <c r="G169" t="inlineStr">
        <is>
          <t>MARKARYD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46261</v>
      </c>
      <c r="F170" t="inlineStr">
        <is>
          <t>KRONOBERGS LÄN</t>
        </is>
      </c>
      <c r="G170" t="inlineStr">
        <is>
          <t>MARKARYD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46261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46261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46261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46261</v>
      </c>
      <c r="F174" t="inlineStr">
        <is>
          <t>KRONOBERGS LÄN</t>
        </is>
      </c>
      <c r="G174" t="inlineStr">
        <is>
          <t>MARKARYD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8494-2023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44977</v>
      </c>
      <c r="E175" s="1" t="n">
        <v>46261</v>
      </c>
      <c r="F175" t="inlineStr">
        <is>
          <t>KRONOBERGS LÄN</t>
        </is>
      </c>
      <c r="G175" t="inlineStr">
        <is>
          <t>MARKARYD</t>
        </is>
      </c>
      <c r="I175" t="n">
        <v>13.6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25621-2023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45089</v>
      </c>
      <c r="E176" s="1" t="n">
        <v>46261</v>
      </c>
      <c r="F176" t="inlineStr">
        <is>
          <t>KRONOBERGS LÄN</t>
        </is>
      </c>
      <c r="G176" t="inlineStr">
        <is>
          <t>MARKARYD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46261</v>
      </c>
      <c r="F177" t="inlineStr">
        <is>
          <t>KRONOBERGS LÄN</t>
        </is>
      </c>
      <c r="G177" t="inlineStr">
        <is>
          <t>MARKARYD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46261</v>
      </c>
      <c r="F178" t="inlineStr">
        <is>
          <t>KRONOBERGS LÄN</t>
        </is>
      </c>
      <c r="G178" t="inlineStr">
        <is>
          <t>MARKARYD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46261</v>
      </c>
      <c r="F179" t="inlineStr">
        <is>
          <t>KRONOBERGS LÄN</t>
        </is>
      </c>
      <c r="G179" t="inlineStr">
        <is>
          <t>MARKARYD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45434</v>
      </c>
      <c r="E180" s="1" t="n">
        <v>46261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46261</v>
      </c>
      <c r="F181" t="inlineStr">
        <is>
          <t>KRONOBERGS LÄN</t>
        </is>
      </c>
      <c r="G181" t="inlineStr">
        <is>
          <t>MARKARYD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46261</v>
      </c>
      <c r="F182" t="inlineStr">
        <is>
          <t>KRONOBERGS LÄN</t>
        </is>
      </c>
      <c r="G182" t="inlineStr">
        <is>
          <t>MARKARYD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46261</v>
      </c>
      <c r="F183" t="inlineStr">
        <is>
          <t>KRONOBERGS LÄN</t>
        </is>
      </c>
      <c r="G183" t="inlineStr">
        <is>
          <t>MARKARYD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46261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46261</v>
      </c>
      <c r="F185" t="inlineStr">
        <is>
          <t>KRONOBERGS LÄN</t>
        </is>
      </c>
      <c r="G185" t="inlineStr">
        <is>
          <t>MARKARYD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46261</v>
      </c>
      <c r="F186" t="inlineStr">
        <is>
          <t>KRONOBERGS LÄN</t>
        </is>
      </c>
      <c r="G186" t="inlineStr">
        <is>
          <t>MARKARYD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45079</v>
      </c>
      <c r="E187" s="1" t="n">
        <v>46261</v>
      </c>
      <c r="F187" t="inlineStr">
        <is>
          <t>KRONOBERGS LÄN</t>
        </is>
      </c>
      <c r="G187" t="inlineStr">
        <is>
          <t>MARKARYD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45080</v>
      </c>
      <c r="E188" s="1" t="n">
        <v>46261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46261</v>
      </c>
      <c r="F189" t="inlineStr">
        <is>
          <t>KRONOBERGS LÄN</t>
        </is>
      </c>
      <c r="G189" t="inlineStr">
        <is>
          <t>MARKARYD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46261</v>
      </c>
      <c r="F190" t="inlineStr">
        <is>
          <t>KRONOBERGS LÄN</t>
        </is>
      </c>
      <c r="G190" t="inlineStr">
        <is>
          <t>MARKARYD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46261</v>
      </c>
      <c r="F191" t="inlineStr">
        <is>
          <t>KRONOBERGS LÄN</t>
        </is>
      </c>
      <c r="G191" t="inlineStr">
        <is>
          <t>MARKARYD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46261</v>
      </c>
      <c r="F192" t="inlineStr">
        <is>
          <t>KRONOBERGS LÄN</t>
        </is>
      </c>
      <c r="G192" t="inlineStr">
        <is>
          <t>MARKARYD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46261</v>
      </c>
      <c r="F193" t="inlineStr">
        <is>
          <t>KRONOBERGS LÄN</t>
        </is>
      </c>
      <c r="G193" t="inlineStr">
        <is>
          <t>MARKARYD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46261</v>
      </c>
      <c r="F194" t="inlineStr">
        <is>
          <t>KRONOBERGS LÄN</t>
        </is>
      </c>
      <c r="G194" t="inlineStr">
        <is>
          <t>MARKARYD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45473</v>
      </c>
      <c r="E195" s="1" t="n">
        <v>46261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46261</v>
      </c>
      <c r="F196" t="inlineStr">
        <is>
          <t>KRONOBERGS LÄN</t>
        </is>
      </c>
      <c r="G196" t="inlineStr">
        <is>
          <t>MARKARYD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46261</v>
      </c>
      <c r="F197" t="inlineStr">
        <is>
          <t>KRONOBERGS LÄN</t>
        </is>
      </c>
      <c r="G197" t="inlineStr">
        <is>
          <t>MARKARYD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46261</v>
      </c>
      <c r="F198" t="inlineStr">
        <is>
          <t>KRONOBERGS LÄN</t>
        </is>
      </c>
      <c r="G198" t="inlineStr">
        <is>
          <t>MARKARYD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46261</v>
      </c>
      <c r="F199" t="inlineStr">
        <is>
          <t>KRONOBERGS LÄN</t>
        </is>
      </c>
      <c r="G199" t="inlineStr">
        <is>
          <t>MARKARYD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46261</v>
      </c>
      <c r="F200" t="inlineStr">
        <is>
          <t>KRONOBERGS LÄN</t>
        </is>
      </c>
      <c r="G200" t="inlineStr">
        <is>
          <t>MARKARYD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45663</v>
      </c>
      <c r="E201" s="1" t="n">
        <v>46261</v>
      </c>
      <c r="F201" t="inlineStr">
        <is>
          <t>KRONOBERGS LÄN</t>
        </is>
      </c>
      <c r="G201" t="inlineStr">
        <is>
          <t>MARKARYD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46261</v>
      </c>
      <c r="F202" t="inlineStr">
        <is>
          <t>KRONOBERGS LÄN</t>
        </is>
      </c>
      <c r="G202" t="inlineStr">
        <is>
          <t>MARKARYD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44798</v>
      </c>
      <c r="E203" s="1" t="n">
        <v>46261</v>
      </c>
      <c r="F203" t="inlineStr">
        <is>
          <t>KRONOBERGS LÄN</t>
        </is>
      </c>
      <c r="G203" t="inlineStr">
        <is>
          <t>MARKARYD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25160-2026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46175</v>
      </c>
      <c r="E204" s="1" t="n">
        <v>46261</v>
      </c>
      <c r="F204" t="inlineStr">
        <is>
          <t>KRONOBERGS LÄN</t>
        </is>
      </c>
      <c r="G204" t="inlineStr">
        <is>
          <t>MARKARYD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8501-2023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44977</v>
      </c>
      <c r="E205" s="1" t="n">
        <v>46261</v>
      </c>
      <c r="F205" t="inlineStr">
        <is>
          <t>KRONOBERGS LÄN</t>
        </is>
      </c>
      <c r="G205" t="inlineStr">
        <is>
          <t>MARKARYD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46261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45476</v>
      </c>
      <c r="E207" s="1" t="n">
        <v>46261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46261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46261</v>
      </c>
      <c r="F209" t="inlineStr">
        <is>
          <t>KRONOBERGS LÄN</t>
        </is>
      </c>
      <c r="G209" t="inlineStr">
        <is>
          <t>MARKARYD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46261</v>
      </c>
      <c r="F210" t="inlineStr">
        <is>
          <t>KRONOBERGS LÄN</t>
        </is>
      </c>
      <c r="G210" t="inlineStr">
        <is>
          <t>MARKARYD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46261</v>
      </c>
      <c r="F211" t="inlineStr">
        <is>
          <t>KRONOBERGS LÄN</t>
        </is>
      </c>
      <c r="G211" t="inlineStr">
        <is>
          <t>MARKARYD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44994</v>
      </c>
      <c r="E212" s="1" t="n">
        <v>46261</v>
      </c>
      <c r="F212" t="inlineStr">
        <is>
          <t>KRONOBERGS LÄN</t>
        </is>
      </c>
      <c r="G212" t="inlineStr">
        <is>
          <t>MARKARYD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46190</v>
      </c>
      <c r="E213" s="1" t="n">
        <v>46261</v>
      </c>
      <c r="F213" t="inlineStr">
        <is>
          <t>KRONOBERGS LÄN</t>
        </is>
      </c>
      <c r="G213" t="inlineStr">
        <is>
          <t>MARKARYD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46261</v>
      </c>
      <c r="F214" t="inlineStr">
        <is>
          <t>KRONOBERGS LÄN</t>
        </is>
      </c>
      <c r="G214" t="inlineStr">
        <is>
          <t>MARKARYD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46261</v>
      </c>
      <c r="F215" t="inlineStr">
        <is>
          <t>KRONOBERGS LÄN</t>
        </is>
      </c>
      <c r="G215" t="inlineStr">
        <is>
          <t>MARKARYD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45386-2022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46261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46261</v>
      </c>
      <c r="F217" t="inlineStr">
        <is>
          <t>KRONOBERGS LÄN</t>
        </is>
      </c>
      <c r="G217" t="inlineStr">
        <is>
          <t>MARKARYD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46240</v>
      </c>
      <c r="E218" s="1" t="n">
        <v>46261</v>
      </c>
      <c r="F218" t="inlineStr">
        <is>
          <t>KRONOBERGS LÄN</t>
        </is>
      </c>
      <c r="G218" t="inlineStr">
        <is>
          <t>MARKARYD</t>
        </is>
      </c>
      <c r="H218" t="inlineStr">
        <is>
          <t>Kyrkan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46261</v>
      </c>
      <c r="F219" t="inlineStr">
        <is>
          <t>KRONOBERGS LÄN</t>
        </is>
      </c>
      <c r="G219" t="inlineStr">
        <is>
          <t>MARKARYD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46261</v>
      </c>
      <c r="F220" t="inlineStr">
        <is>
          <t>KRONOBERGS LÄN</t>
        </is>
      </c>
      <c r="G220" t="inlineStr">
        <is>
          <t>MARKARYD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46261</v>
      </c>
      <c r="F221" t="inlineStr">
        <is>
          <t>KRONOBERGS LÄN</t>
        </is>
      </c>
      <c r="G221" t="inlineStr">
        <is>
          <t>MARKARYD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46240</v>
      </c>
      <c r="E222" s="1" t="n">
        <v>46261</v>
      </c>
      <c r="F222" t="inlineStr">
        <is>
          <t>KRONOBERGS LÄN</t>
        </is>
      </c>
      <c r="G222" t="inlineStr">
        <is>
          <t>MARKARYD</t>
        </is>
      </c>
      <c r="H222" t="inlineStr">
        <is>
          <t>Kyrkan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52737-2021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44467</v>
      </c>
      <c r="E223" s="1" t="n">
        <v>46261</v>
      </c>
      <c r="F223" t="inlineStr">
        <is>
          <t>KRONOBERGS LÄN</t>
        </is>
      </c>
      <c r="G223" t="inlineStr">
        <is>
          <t>MARKARYD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46261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46261</v>
      </c>
      <c r="F225" t="inlineStr">
        <is>
          <t>KRONOBERGS LÄN</t>
        </is>
      </c>
      <c r="G225" t="inlineStr">
        <is>
          <t>MARKARYD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46261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46261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46261</v>
      </c>
      <c r="F228" t="inlineStr">
        <is>
          <t>KRONOBERGS LÄN</t>
        </is>
      </c>
      <c r="G228" t="inlineStr">
        <is>
          <t>MARKARYD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46261</v>
      </c>
      <c r="F229" t="inlineStr">
        <is>
          <t>KRONOBERGS LÄN</t>
        </is>
      </c>
      <c r="G229" t="inlineStr">
        <is>
          <t>MARKARYD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46244</v>
      </c>
      <c r="E230" s="1" t="n">
        <v>46261</v>
      </c>
      <c r="F230" t="inlineStr">
        <is>
          <t>KRONOBERGS LÄN</t>
        </is>
      </c>
      <c r="G230" t="inlineStr">
        <is>
          <t>MARKARYD</t>
        </is>
      </c>
      <c r="H230" t="inlineStr">
        <is>
          <t>Kyrkan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46261</v>
      </c>
      <c r="F231" t="inlineStr">
        <is>
          <t>KRONOBERGS LÄN</t>
        </is>
      </c>
      <c r="G231" t="inlineStr">
        <is>
          <t>MARKARYD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46261</v>
      </c>
      <c r="F232" t="inlineStr">
        <is>
          <t>KRONOBERGS LÄN</t>
        </is>
      </c>
      <c r="G232" t="inlineStr">
        <is>
          <t>MARKARYD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46261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52239-2021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46261</v>
      </c>
      <c r="F234" t="inlineStr">
        <is>
          <t>KRONOBERGS LÄN</t>
        </is>
      </c>
      <c r="G234" t="inlineStr">
        <is>
          <t>MARKARYD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46261</v>
      </c>
      <c r="F235" t="inlineStr">
        <is>
          <t>KRONOBERGS LÄN</t>
        </is>
      </c>
      <c r="G235" t="inlineStr">
        <is>
          <t>MARKARYD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46261</v>
      </c>
      <c r="F236" t="inlineStr">
        <is>
          <t>KRONOBERGS LÄN</t>
        </is>
      </c>
      <c r="G236" t="inlineStr">
        <is>
          <t>MARKARYD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46261</v>
      </c>
      <c r="F237" t="inlineStr">
        <is>
          <t>KRONOBERGS LÄN</t>
        </is>
      </c>
      <c r="G237" t="inlineStr">
        <is>
          <t>MARKARYD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46261</v>
      </c>
      <c r="F238" t="inlineStr">
        <is>
          <t>KRONOBERGS LÄN</t>
        </is>
      </c>
      <c r="G238" t="inlineStr">
        <is>
          <t>MARKARYD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44460</v>
      </c>
      <c r="E239" s="1" t="n">
        <v>46261</v>
      </c>
      <c r="F239" t="inlineStr">
        <is>
          <t>KRONOBERGS LÄN</t>
        </is>
      </c>
      <c r="G239" t="inlineStr">
        <is>
          <t>MARKARYD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46261</v>
      </c>
      <c r="F240" t="inlineStr">
        <is>
          <t>KRONOBERGS LÄN</t>
        </is>
      </c>
      <c r="G240" t="inlineStr">
        <is>
          <t>MARKARYD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46261</v>
      </c>
      <c r="F241" t="inlineStr">
        <is>
          <t>KRONOBERGS LÄN</t>
        </is>
      </c>
      <c r="G241" t="inlineStr">
        <is>
          <t>MARKARYD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45021</v>
      </c>
      <c r="E242" s="1" t="n">
        <v>46261</v>
      </c>
      <c r="F242" t="inlineStr">
        <is>
          <t>KRONOBERGS LÄN</t>
        </is>
      </c>
      <c r="G242" t="inlineStr">
        <is>
          <t>MARKARYD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44992</v>
      </c>
      <c r="E243" s="1" t="n">
        <v>46261</v>
      </c>
      <c r="F243" t="inlineStr">
        <is>
          <t>KRONOBERGS LÄN</t>
        </is>
      </c>
      <c r="G243" t="inlineStr">
        <is>
          <t>MARKARYD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46261</v>
      </c>
      <c r="F244" t="inlineStr">
        <is>
          <t>KRONOBERGS LÄN</t>
        </is>
      </c>
      <c r="G244" t="inlineStr">
        <is>
          <t>MARKARYD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45524</v>
      </c>
      <c r="E245" s="1" t="n">
        <v>46261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46261</v>
      </c>
      <c r="F246" t="inlineStr">
        <is>
          <t>KRONOBERGS LÄN</t>
        </is>
      </c>
      <c r="G246" t="inlineStr">
        <is>
          <t>MARKARYD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46213</v>
      </c>
      <c r="E247" s="1" t="n">
        <v>46261</v>
      </c>
      <c r="F247" t="inlineStr">
        <is>
          <t>KRONOBERGS LÄN</t>
        </is>
      </c>
      <c r="G247" t="inlineStr">
        <is>
          <t>MARKARYD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46261</v>
      </c>
      <c r="F248" t="inlineStr">
        <is>
          <t>KRONOBERGS LÄN</t>
        </is>
      </c>
      <c r="G248" t="inlineStr">
        <is>
          <t>MARKARYD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46261</v>
      </c>
      <c r="F249" t="inlineStr">
        <is>
          <t>KRONOBERGS LÄN</t>
        </is>
      </c>
      <c r="G249" t="inlineStr">
        <is>
          <t>MARKARYD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44636</v>
      </c>
      <c r="E250" s="1" t="n">
        <v>46261</v>
      </c>
      <c r="F250" t="inlineStr">
        <is>
          <t>KRONOBERGS LÄN</t>
        </is>
      </c>
      <c r="G250" t="inlineStr">
        <is>
          <t>MARKARYD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46261</v>
      </c>
      <c r="F251" t="inlineStr">
        <is>
          <t>KRONOBERGS LÄN</t>
        </is>
      </c>
      <c r="G251" t="inlineStr">
        <is>
          <t>MARKARYD</t>
        </is>
      </c>
      <c r="H251" t="inlineStr">
        <is>
          <t>Kyrkan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46261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46261</v>
      </c>
      <c r="F253" t="inlineStr">
        <is>
          <t>KRONOBERGS LÄN</t>
        </is>
      </c>
      <c r="G253" t="inlineStr">
        <is>
          <t>MARKARYD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46261</v>
      </c>
      <c r="F254" t="inlineStr">
        <is>
          <t>KRONOBERGS LÄN</t>
        </is>
      </c>
      <c r="G254" t="inlineStr">
        <is>
          <t>MARKARYD</t>
        </is>
      </c>
      <c r="H254" t="inlineStr">
        <is>
          <t>Kyrkan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46261</v>
      </c>
      <c r="F255" t="inlineStr">
        <is>
          <t>KRONOBERGS LÄN</t>
        </is>
      </c>
      <c r="G255" t="inlineStr">
        <is>
          <t>MARKARYD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46261</v>
      </c>
      <c r="F256" t="inlineStr">
        <is>
          <t>KRONOBERGS LÄN</t>
        </is>
      </c>
      <c r="G256" t="inlineStr">
        <is>
          <t>MARKARYD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46261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70327-2021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46261</v>
      </c>
      <c r="F258" t="inlineStr">
        <is>
          <t>KRONOBERGS LÄN</t>
        </is>
      </c>
      <c r="G258" t="inlineStr">
        <is>
          <t>MARKARYD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44581</v>
      </c>
      <c r="E259" s="1" t="n">
        <v>46261</v>
      </c>
      <c r="F259" t="inlineStr">
        <is>
          <t>KRONOBERGS LÄN</t>
        </is>
      </c>
      <c r="G259" t="inlineStr">
        <is>
          <t>MARKARYD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46261</v>
      </c>
      <c r="F260" t="inlineStr">
        <is>
          <t>KRONOBERGS LÄN</t>
        </is>
      </c>
      <c r="G260" t="inlineStr">
        <is>
          <t>MARKARYD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25957-2023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45090</v>
      </c>
      <c r="E261" s="1" t="n">
        <v>46261</v>
      </c>
      <c r="F261" t="inlineStr">
        <is>
          <t>KRONOBERGS LÄN</t>
        </is>
      </c>
      <c r="G261" t="inlineStr">
        <is>
          <t>MARKARYD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46261</v>
      </c>
      <c r="F262" t="inlineStr">
        <is>
          <t>KRONOBERGS LÄN</t>
        </is>
      </c>
      <c r="G262" t="inlineStr">
        <is>
          <t>MARKARYD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46261</v>
      </c>
      <c r="F263" t="inlineStr">
        <is>
          <t>KRONOBERGS LÄN</t>
        </is>
      </c>
      <c r="G263" t="inlineStr">
        <is>
          <t>MARKARYD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46261</v>
      </c>
      <c r="F264" t="inlineStr">
        <is>
          <t>KRONOBERGS LÄN</t>
        </is>
      </c>
      <c r="G264" t="inlineStr">
        <is>
          <t>MARKARYD</t>
        </is>
      </c>
      <c r="H264" t="inlineStr">
        <is>
          <t>Naturvårdsverket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45434</v>
      </c>
      <c r="E265" s="1" t="n">
        <v>46261</v>
      </c>
      <c r="F265" t="inlineStr">
        <is>
          <t>KRONOBERGS LÄN</t>
        </is>
      </c>
      <c r="G265" t="inlineStr">
        <is>
          <t>MARKARYD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46261</v>
      </c>
      <c r="F266" t="inlineStr">
        <is>
          <t>KRONOBERGS LÄN</t>
        </is>
      </c>
      <c r="G266" t="inlineStr">
        <is>
          <t>MARKARYD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45141</v>
      </c>
      <c r="E267" s="1" t="n">
        <v>46261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44677</v>
      </c>
      <c r="E268" s="1" t="n">
        <v>46261</v>
      </c>
      <c r="F268" t="inlineStr">
        <is>
          <t>KRONOBERGS LÄN</t>
        </is>
      </c>
      <c r="G268" t="inlineStr">
        <is>
          <t>MARKARYD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45080</v>
      </c>
      <c r="E269" s="1" t="n">
        <v>46261</v>
      </c>
      <c r="F269" t="inlineStr">
        <is>
          <t>KRONOBERGS LÄN</t>
        </is>
      </c>
      <c r="G269" t="inlineStr">
        <is>
          <t>MARKARYD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46261</v>
      </c>
      <c r="F270" t="inlineStr">
        <is>
          <t>KRONOBERGS LÄN</t>
        </is>
      </c>
      <c r="G270" t="inlineStr">
        <is>
          <t>MARKARYD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45181</v>
      </c>
      <c r="E271" s="1" t="n">
        <v>46261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46261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46261</v>
      </c>
      <c r="F273" t="inlineStr">
        <is>
          <t>KRONOBERGS LÄN</t>
        </is>
      </c>
      <c r="G273" t="inlineStr">
        <is>
          <t>MARKARYD</t>
        </is>
      </c>
      <c r="I273" t="n">
        <v>13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45681</v>
      </c>
      <c r="E274" s="1" t="n">
        <v>46261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46261</v>
      </c>
      <c r="F275" t="inlineStr">
        <is>
          <t>KRONOBERGS LÄN</t>
        </is>
      </c>
      <c r="G275" t="inlineStr">
        <is>
          <t>MARKARYD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46261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46261</v>
      </c>
      <c r="F277" t="inlineStr">
        <is>
          <t>KRONOBERGS LÄN</t>
        </is>
      </c>
      <c r="G277" t="inlineStr">
        <is>
          <t>MARKARYD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46261</v>
      </c>
      <c r="F278" t="inlineStr">
        <is>
          <t>KRONOBERGS LÄN</t>
        </is>
      </c>
      <c r="G278" t="inlineStr">
        <is>
          <t>MARKARYD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44790</v>
      </c>
      <c r="E279" s="1" t="n">
        <v>46261</v>
      </c>
      <c r="F279" t="inlineStr">
        <is>
          <t>KRONOBERGS LÄN</t>
        </is>
      </c>
      <c r="G279" t="inlineStr">
        <is>
          <t>MARKARYD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46261</v>
      </c>
      <c r="F280" t="inlineStr">
        <is>
          <t>KRONOBERGS LÄN</t>
        </is>
      </c>
      <c r="G280" t="inlineStr">
        <is>
          <t>MARKARYD</t>
        </is>
      </c>
      <c r="H280" t="inlineStr">
        <is>
          <t>Kyrkan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45296</v>
      </c>
      <c r="E281" s="1" t="n">
        <v>46261</v>
      </c>
      <c r="F281" t="inlineStr">
        <is>
          <t>KRONOBERGS LÄN</t>
        </is>
      </c>
      <c r="G281" t="inlineStr">
        <is>
          <t>MARKARYD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46261</v>
      </c>
      <c r="F282" t="inlineStr">
        <is>
          <t>KRONOBERGS LÄN</t>
        </is>
      </c>
      <c r="G282" t="inlineStr">
        <is>
          <t>MARKARYD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46261</v>
      </c>
      <c r="F283" t="inlineStr">
        <is>
          <t>KRONOBERGS LÄN</t>
        </is>
      </c>
      <c r="G283" t="inlineStr">
        <is>
          <t>MARKARYD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46261</v>
      </c>
      <c r="F284" t="inlineStr">
        <is>
          <t>KRONOBERGS LÄN</t>
        </is>
      </c>
      <c r="G284" t="inlineStr">
        <is>
          <t>MARKARYD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64512-2023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46261</v>
      </c>
      <c r="F285" t="inlineStr">
        <is>
          <t>KRONOBERGS LÄN</t>
        </is>
      </c>
      <c r="G285" t="inlineStr">
        <is>
          <t>MARKARYD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56008-2023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46261</v>
      </c>
      <c r="F286" t="inlineStr">
        <is>
          <t>KRONOBERGS LÄN</t>
        </is>
      </c>
      <c r="G286" t="inlineStr">
        <is>
          <t>MARKARYD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45173</v>
      </c>
      <c r="E287" s="1" t="n">
        <v>46261</v>
      </c>
      <c r="F287" t="inlineStr">
        <is>
          <t>KRONOBERGS LÄN</t>
        </is>
      </c>
      <c r="G287" t="inlineStr">
        <is>
          <t>MARKARYD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46261</v>
      </c>
      <c r="F288" t="inlineStr">
        <is>
          <t>KRONOBERGS LÄN</t>
        </is>
      </c>
      <c r="G288" t="inlineStr">
        <is>
          <t>MARKARYD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46261</v>
      </c>
      <c r="F289" t="inlineStr">
        <is>
          <t>KRONOBERGS LÄN</t>
        </is>
      </c>
      <c r="G289" t="inlineStr">
        <is>
          <t>MARKARYD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45195</v>
      </c>
      <c r="E290" s="1" t="n">
        <v>46261</v>
      </c>
      <c r="F290" t="inlineStr">
        <is>
          <t>KRONOBERGS LÄN</t>
        </is>
      </c>
      <c r="G290" t="inlineStr">
        <is>
          <t>MARKARYD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45236</v>
      </c>
      <c r="E291" s="1" t="n">
        <v>46261</v>
      </c>
      <c r="F291" t="inlineStr">
        <is>
          <t>KRONOBERGS LÄN</t>
        </is>
      </c>
      <c r="G291" t="inlineStr">
        <is>
          <t>MARKARYD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46261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46261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46261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46261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46261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51060-2021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44461</v>
      </c>
      <c r="E297" s="1" t="n">
        <v>46261</v>
      </c>
      <c r="F297" t="inlineStr">
        <is>
          <t>KRONOBERGS LÄN</t>
        </is>
      </c>
      <c r="G297" t="inlineStr">
        <is>
          <t>MARKARYD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45000</v>
      </c>
      <c r="E298" s="1" t="n">
        <v>46261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6554-2022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44601</v>
      </c>
      <c r="E299" s="1" t="n">
        <v>46261</v>
      </c>
      <c r="F299" t="inlineStr">
        <is>
          <t>KRONOBERGS LÄN</t>
        </is>
      </c>
      <c r="G299" t="inlineStr">
        <is>
          <t>MARKARYD</t>
        </is>
      </c>
      <c r="H299" t="inlineStr">
        <is>
          <t>Kommuner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44606</v>
      </c>
      <c r="E300" s="1" t="n">
        <v>46261</v>
      </c>
      <c r="F300" t="inlineStr">
        <is>
          <t>KRONOBERGS LÄN</t>
        </is>
      </c>
      <c r="G300" t="inlineStr">
        <is>
          <t>MARKARYD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46261</v>
      </c>
      <c r="F301" t="inlineStr">
        <is>
          <t>KRONOBERGS LÄN</t>
        </is>
      </c>
      <c r="G301" t="inlineStr">
        <is>
          <t>MARKARYD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46261</v>
      </c>
      <c r="F302" t="inlineStr">
        <is>
          <t>KRONOBERGS LÄN</t>
        </is>
      </c>
      <c r="G302" t="inlineStr">
        <is>
          <t>MARKARYD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44809</v>
      </c>
      <c r="E303" s="1" t="n">
        <v>46261</v>
      </c>
      <c r="F303" t="inlineStr">
        <is>
          <t>KRONOBERGS LÄN</t>
        </is>
      </c>
      <c r="G303" t="inlineStr">
        <is>
          <t>MARKARYD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42850-2024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45566</v>
      </c>
      <c r="E304" s="1" t="n">
        <v>46261</v>
      </c>
      <c r="F304" t="inlineStr">
        <is>
          <t>KRONOBERGS LÄN</t>
        </is>
      </c>
      <c r="G304" t="inlineStr">
        <is>
          <t>MARKARYD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46261</v>
      </c>
      <c r="F305" t="inlineStr">
        <is>
          <t>KRONOBERGS LÄN</t>
        </is>
      </c>
      <c r="G305" t="inlineStr">
        <is>
          <t>MARKARYD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46261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46261</v>
      </c>
      <c r="F307" t="inlineStr">
        <is>
          <t>KRONOBERGS LÄN</t>
        </is>
      </c>
      <c r="G307" t="inlineStr">
        <is>
          <t>MARKARYD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46261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44644</v>
      </c>
      <c r="E309" s="1" t="n">
        <v>46261</v>
      </c>
      <c r="F309" t="inlineStr">
        <is>
          <t>KRONOBERGS LÄN</t>
        </is>
      </c>
      <c r="G309" t="inlineStr">
        <is>
          <t>MARKARYD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46261</v>
      </c>
      <c r="F310" t="inlineStr">
        <is>
          <t>KRONOBERGS LÄN</t>
        </is>
      </c>
      <c r="G310" t="inlineStr">
        <is>
          <t>MARKARYD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45462</v>
      </c>
      <c r="E311" s="1" t="n">
        <v>46261</v>
      </c>
      <c r="F311" t="inlineStr">
        <is>
          <t>KRONOBERGS LÄN</t>
        </is>
      </c>
      <c r="G311" t="inlineStr">
        <is>
          <t>MARKARYD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44887</v>
      </c>
      <c r="E312" s="1" t="n">
        <v>46261</v>
      </c>
      <c r="F312" t="inlineStr">
        <is>
          <t>KRONOBERGS LÄN</t>
        </is>
      </c>
      <c r="G312" t="inlineStr">
        <is>
          <t>MARKARYD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44578</v>
      </c>
      <c r="E313" s="1" t="n">
        <v>46261</v>
      </c>
      <c r="F313" t="inlineStr">
        <is>
          <t>KRONOBERGS LÄN</t>
        </is>
      </c>
      <c r="G313" t="inlineStr">
        <is>
          <t>MARKARYD</t>
        </is>
      </c>
      <c r="H313" t="inlineStr">
        <is>
          <t>Övriga Aktiebolag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45602</v>
      </c>
      <c r="E314" s="1" t="n">
        <v>46261</v>
      </c>
      <c r="F314" t="inlineStr">
        <is>
          <t>KRONOBERGS LÄN</t>
        </is>
      </c>
      <c r="G314" t="inlineStr">
        <is>
          <t>MARKARYD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46261</v>
      </c>
      <c r="F315" t="inlineStr">
        <is>
          <t>KRONOBERGS LÄN</t>
        </is>
      </c>
      <c r="G315" t="inlineStr">
        <is>
          <t>MARKARYD</t>
        </is>
      </c>
      <c r="H315" t="inlineStr">
        <is>
          <t>Kyrkan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44616</v>
      </c>
      <c r="E316" s="1" t="n">
        <v>46261</v>
      </c>
      <c r="F316" t="inlineStr">
        <is>
          <t>KRONOBERGS LÄN</t>
        </is>
      </c>
      <c r="G316" t="inlineStr">
        <is>
          <t>MARKARYD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46261</v>
      </c>
      <c r="F317" t="inlineStr">
        <is>
          <t>KRONOBERGS LÄN</t>
        </is>
      </c>
      <c r="G317" t="inlineStr">
        <is>
          <t>MARKARYD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44760</v>
      </c>
      <c r="E318" s="1" t="n">
        <v>46261</v>
      </c>
      <c r="F318" t="inlineStr">
        <is>
          <t>KRONOBERGS LÄN</t>
        </is>
      </c>
      <c r="G318" t="inlineStr">
        <is>
          <t>MARKARYD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46261</v>
      </c>
      <c r="F319" t="inlineStr">
        <is>
          <t>KRONOBERGS LÄN</t>
        </is>
      </c>
      <c r="G319" t="inlineStr">
        <is>
          <t>MARKARYD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44601</v>
      </c>
      <c r="E320" s="1" t="n">
        <v>46261</v>
      </c>
      <c r="F320" t="inlineStr">
        <is>
          <t>KRONOBERGS LÄN</t>
        </is>
      </c>
      <c r="G320" t="inlineStr">
        <is>
          <t>MARKARYD</t>
        </is>
      </c>
      <c r="H320" t="inlineStr">
        <is>
          <t>Kommuner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6561-2022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44601</v>
      </c>
      <c r="E321" s="1" t="n">
        <v>46261</v>
      </c>
      <c r="F321" t="inlineStr">
        <is>
          <t>KRONOBERGS LÄN</t>
        </is>
      </c>
      <c r="G321" t="inlineStr">
        <is>
          <t>MARKARYD</t>
        </is>
      </c>
      <c r="H321" t="inlineStr">
        <is>
          <t>Kommuner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20571-2022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44700</v>
      </c>
      <c r="E322" s="1" t="n">
        <v>46261</v>
      </c>
      <c r="F322" t="inlineStr">
        <is>
          <t>KRONOBERGS LÄN</t>
        </is>
      </c>
      <c r="G322" t="inlineStr">
        <is>
          <t>MARKARYD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46261</v>
      </c>
      <c r="F323" t="inlineStr">
        <is>
          <t>KRONOBERGS LÄN</t>
        </is>
      </c>
      <c r="G323" t="inlineStr">
        <is>
          <t>MARKARYD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46261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45470</v>
      </c>
      <c r="E325" s="1" t="n">
        <v>46261</v>
      </c>
      <c r="F325" t="inlineStr">
        <is>
          <t>KRONOBERGS LÄN</t>
        </is>
      </c>
      <c r="G325" t="inlineStr">
        <is>
          <t>MARKARYD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46261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46261</v>
      </c>
      <c r="F327" t="inlineStr">
        <is>
          <t>KRONOBERGS LÄN</t>
        </is>
      </c>
      <c r="G327" t="inlineStr">
        <is>
          <t>MARKARYD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44956</v>
      </c>
      <c r="E328" s="1" t="n">
        <v>46261</v>
      </c>
      <c r="F328" t="inlineStr">
        <is>
          <t>KRONOBERGS LÄN</t>
        </is>
      </c>
      <c r="G328" t="inlineStr">
        <is>
          <t>MARKARYD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45372</v>
      </c>
      <c r="E329" s="1" t="n">
        <v>46261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45282</v>
      </c>
      <c r="E330" s="1" t="n">
        <v>46261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46261</v>
      </c>
      <c r="F331" t="inlineStr">
        <is>
          <t>KRONOBERGS LÄN</t>
        </is>
      </c>
      <c r="G331" t="inlineStr">
        <is>
          <t>MARKARYD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46261</v>
      </c>
      <c r="F332" t="inlineStr">
        <is>
          <t>KRONOBERGS LÄN</t>
        </is>
      </c>
      <c r="G332" t="inlineStr">
        <is>
          <t>MARKARYD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46261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46261</v>
      </c>
      <c r="F334" t="inlineStr">
        <is>
          <t>KRONOBERGS LÄN</t>
        </is>
      </c>
      <c r="G334" t="inlineStr">
        <is>
          <t>MARKARYD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45671</v>
      </c>
      <c r="E335" s="1" t="n">
        <v>46261</v>
      </c>
      <c r="F335" t="inlineStr">
        <is>
          <t>KRONOBERGS LÄN</t>
        </is>
      </c>
      <c r="G335" t="inlineStr">
        <is>
          <t>MARKARYD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46261</v>
      </c>
      <c r="F336" t="inlineStr">
        <is>
          <t>KRONOBERGS LÄN</t>
        </is>
      </c>
      <c r="G336" t="inlineStr">
        <is>
          <t>MARKARYD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46261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46261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46261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46261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46261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46261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46261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46261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46261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46261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46261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46261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46261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46261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46261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46261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46261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46261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46261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46261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46261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46261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46261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46261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46261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46261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46261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46261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46261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46261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46261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46261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2026-08-27T01:55:37Z</dcterms:created>
  <dcterms:modified xmlns:dcterms="http://purl.org/dc/terms/" xmlns:xsi="http://www.w3.org/2001/XMLSchema-instance" xsi:type="dcterms:W3CDTF">2026-08-27T01:55:37Z</dcterms:modified>
</cp:coreProperties>
</file>