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45581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45581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45581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45581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45581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45581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12084-2023</t>
        </is>
      </c>
      <c r="B8" s="1" t="n">
        <v>44997</v>
      </c>
      <c r="C8" s="1" t="n">
        <v>45581</v>
      </c>
      <c r="D8" t="inlineStr">
        <is>
          <t>KRONOBERGS LÄN</t>
        </is>
      </c>
      <c r="E8" t="inlineStr">
        <is>
          <t>MARKARYD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12084-2023 artfynd.xlsx", "A 12084-2023")</f>
        <v/>
      </c>
      <c r="T8">
        <f>HYPERLINK("https://klasma.github.io/Logging_0767/kartor/A 12084-2023 karta.png", "A 12084-2023")</f>
        <v/>
      </c>
      <c r="V8">
        <f>HYPERLINK("https://klasma.github.io/Logging_0767/klagomål/A 12084-2023 FSC-klagomål.docx", "A 12084-2023")</f>
        <v/>
      </c>
      <c r="W8">
        <f>HYPERLINK("https://klasma.github.io/Logging_0767/klagomålsmail/A 12084-2023 FSC-klagomål mail.docx", "A 12084-2023")</f>
        <v/>
      </c>
      <c r="X8">
        <f>HYPERLINK("https://klasma.github.io/Logging_0767/tillsyn/A 12084-2023 tillsynsbegäran.docx", "A 12084-2023")</f>
        <v/>
      </c>
      <c r="Y8">
        <f>HYPERLINK("https://klasma.github.io/Logging_0767/tillsynsmail/A 12084-2023 tillsynsbegäran mail.docx", "A 12084-2023")</f>
        <v/>
      </c>
    </row>
    <row r="9" ht="15" customHeight="1">
      <c r="A9" t="inlineStr">
        <is>
          <t>A 51195-2023</t>
        </is>
      </c>
      <c r="B9" s="1" t="n">
        <v>45219</v>
      </c>
      <c r="C9" s="1" t="n">
        <v>45581</v>
      </c>
      <c r="D9" t="inlineStr">
        <is>
          <t>KRONOBERGS LÄN</t>
        </is>
      </c>
      <c r="E9" t="inlineStr">
        <is>
          <t>MARKARYD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HYPERLINK("https://klasma.github.io/Logging_0767/artfynd/A 51195-2023 artfynd.xlsx", "A 51195-2023")</f>
        <v/>
      </c>
      <c r="T9">
        <f>HYPERLINK("https://klasma.github.io/Logging_0767/kartor/A 51195-2023 karta.png", "A 51195-2023")</f>
        <v/>
      </c>
      <c r="V9">
        <f>HYPERLINK("https://klasma.github.io/Logging_0767/klagomål/A 51195-2023 FSC-klagomål.docx", "A 51195-2023")</f>
        <v/>
      </c>
      <c r="W9">
        <f>HYPERLINK("https://klasma.github.io/Logging_0767/klagomålsmail/A 51195-2023 FSC-klagomål mail.docx", "A 51195-2023")</f>
        <v/>
      </c>
      <c r="X9">
        <f>HYPERLINK("https://klasma.github.io/Logging_0767/tillsyn/A 51195-2023 tillsynsbegäran.docx", "A 51195-2023")</f>
        <v/>
      </c>
      <c r="Y9">
        <f>HYPERLINK("https://klasma.github.io/Logging_0767/tillsynsmail/A 51195-2023 tillsynsbegäran mail.docx", "A 51195-2023")</f>
        <v/>
      </c>
    </row>
    <row r="10" ht="15" customHeight="1">
      <c r="A10" t="inlineStr">
        <is>
          <t>A 54485-2023</t>
        </is>
      </c>
      <c r="B10" s="1" t="n">
        <v>45233</v>
      </c>
      <c r="C10" s="1" t="n">
        <v>45581</v>
      </c>
      <c r="D10" t="inlineStr">
        <is>
          <t>KRONOBERGS LÄN</t>
        </is>
      </c>
      <c r="E10" t="inlineStr">
        <is>
          <t>MARKARYD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HYPERLINK("https://klasma.github.io/Logging_0767/artfynd/A 54485-2023 artfynd.xlsx", "A 54485-2023")</f>
        <v/>
      </c>
      <c r="T10">
        <f>HYPERLINK("https://klasma.github.io/Logging_0767/kartor/A 54485-2023 karta.png", "A 54485-2023")</f>
        <v/>
      </c>
      <c r="V10">
        <f>HYPERLINK("https://klasma.github.io/Logging_0767/klagomål/A 54485-2023 FSC-klagomål.docx", "A 54485-2023")</f>
        <v/>
      </c>
      <c r="W10">
        <f>HYPERLINK("https://klasma.github.io/Logging_0767/klagomålsmail/A 54485-2023 FSC-klagomål mail.docx", "A 54485-2023")</f>
        <v/>
      </c>
      <c r="X10">
        <f>HYPERLINK("https://klasma.github.io/Logging_0767/tillsyn/A 54485-2023 tillsynsbegäran.docx", "A 54485-2023")</f>
        <v/>
      </c>
      <c r="Y10">
        <f>HYPERLINK("https://klasma.github.io/Logging_0767/tillsynsmail/A 54485-2023 tillsynsbegäran mail.docx", "A 54485-2023")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45581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45581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45581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45581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45581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45581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45581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45581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45581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45581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45581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45581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45581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45581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45581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45581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45581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45581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45581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45581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45581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45581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45581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45581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45581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45581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45581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45581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45581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45581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45581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45581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45581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45581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45581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45581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45581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45581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45581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45581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45581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45581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45581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45581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45581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45581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45581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45581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45581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45581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45581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45581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45581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45581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45581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45581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45581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45581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45581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45581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45581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45581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45581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45581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45581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45581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45581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45581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45581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45581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45581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45581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45581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45581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45581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45581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45581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45581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45581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45581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45581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45581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45581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45581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45581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45581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45581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45581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45581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45581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45581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45581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45581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45581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45581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45581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45581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45581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45581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45581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45581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45581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45581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45581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45581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45581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45581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45581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45581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45581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45581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45581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45581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45581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45581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45581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45581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45581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45581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45581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45581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45581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45581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45581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45581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45581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45581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45581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45581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45581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45581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45581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45581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45581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45581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45581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45581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45581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45581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45581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45581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45581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45581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45581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45581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45581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45581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45581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45581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45581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45581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45581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45581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45581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45581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45581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45581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45581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45581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45581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45581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45581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45581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45581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45581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45581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45581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45581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45581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45581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45581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45581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45581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45581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45581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45581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45581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45581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45581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45581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45581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45581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45581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45581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45581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45581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45581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45581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45581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45581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45581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45581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45581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45581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45581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45581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45581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45581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45581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45581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45581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45581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45581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45581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45581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45581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45581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45581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45581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45581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45581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45581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45581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45581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45581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45581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45581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45581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45581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45581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45581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45581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45581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45581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45581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45581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45581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45581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45581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45581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45581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45581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45581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45581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45581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45581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45581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45581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45581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45581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45581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45581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45581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45581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45581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45581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45581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45581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45581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45581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45581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45581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45581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45581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45581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45581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45581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45581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45581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45581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45581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45581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45581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45581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45581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45581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45581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45581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45581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45581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45581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45581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45581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45581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45581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45581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45581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45581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45581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45581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45581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45581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45581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45581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45581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45581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45581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45581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45581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45581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45581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45581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45581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45581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45581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45581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45581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45581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45581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45581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45581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45581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45581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45581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45581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45581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45581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45581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45581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45581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45581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45581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45581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45581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45581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45581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45581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45581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45581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45581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45581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45581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45581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45581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45581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45581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45581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45581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45581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45581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45581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45581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45581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45581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45581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45581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45581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45581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45581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45581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45581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45581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45581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45581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45581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45581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45581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45581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45581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45581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45581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45581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45581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45581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45581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45581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45581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45581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45581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45581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45581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45581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45581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45581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45581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45581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45581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45581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45581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45581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45581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45581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45581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45581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45581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45581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45581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45581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45581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45581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45581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45581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45581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45581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45581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45581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45581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45581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45581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45581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45581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45581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45581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45581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45581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45581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45581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45581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45581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45581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45581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45581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45581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45581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45581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45581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45581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45581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45581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45581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45581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45581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45581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45581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45581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45581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45581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45581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45581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45581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45581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45581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45581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45581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45581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45581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45581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45581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45581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45581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45581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45581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45581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45581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45581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45581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45581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45581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45581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45581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45581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45581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45581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45581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45581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45581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45581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45581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45581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45581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45581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45581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45581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45581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45581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45581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45581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45581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45581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45581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45581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45581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45581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45581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45581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45581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45581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45581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45581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45581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45581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45581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45581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45581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45581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45581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45581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45581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45581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45581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45581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45581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45581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45581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45581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45581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45581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45581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45581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45581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45581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45581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45581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45581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45581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45581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45581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45581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45581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45581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45581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45581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45581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45581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45581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45581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45581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45581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45581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45581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45581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45581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45581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45581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45581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45581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38624-2024</t>
        </is>
      </c>
      <c r="B527" s="1" t="n">
        <v>45546</v>
      </c>
      <c r="C527" s="1" t="n">
        <v>45581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38567-2024</t>
        </is>
      </c>
      <c r="B528" s="1" t="n">
        <v>45546</v>
      </c>
      <c r="C528" s="1" t="n">
        <v>45581</v>
      </c>
      <c r="D528" t="inlineStr">
        <is>
          <t>KRONOBERGS LÄN</t>
        </is>
      </c>
      <c r="E528" t="inlineStr">
        <is>
          <t>MARKARYD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45581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45581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45581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45581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45581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45581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45581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45581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45581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45581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43394-2024</t>
        </is>
      </c>
      <c r="B539" s="1" t="n">
        <v>45568</v>
      </c>
      <c r="C539" s="1" t="n">
        <v>45581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2024-10-16T13:10:30Z</dcterms:created>
  <dcterms:modified xmlns:dcterms="http://purl.org/dc/terms/" xmlns:xsi="http://www.w3.org/2001/XMLSchema-instance" xsi:type="dcterms:W3CDTF">2024-10-16T13:10:30Z</dcterms:modified>
</cp:coreProperties>
</file>