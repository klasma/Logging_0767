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46249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46249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46249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46249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46249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46249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46249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46249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46249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46249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4473-2023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44956</v>
      </c>
      <c r="E12" s="1" t="n">
        <v>46249</v>
      </c>
      <c r="F12" t="inlineStr">
        <is>
          <t>KRONOBERGS LÄN</t>
        </is>
      </c>
      <c r="G12" t="inlineStr">
        <is>
          <t>MARKARYD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HYPERLINK("https://klasma.github.io/Logging_0767/artfynd/A 4473-2023 artfynd.xlsx", "A 4473-2023")</f>
        <v/>
      </c>
      <c r="X12">
        <f>HYPERLINK("https://klasma.github.io/Logging_0767/kartor/A 4473-2023 karta.png", "A 4473-2023")</f>
        <v/>
      </c>
      <c r="Y12">
        <f>HYPERLINK("https://klasma.github.io/Logging_0767/kartor_geotiff/A 4473-2023 georefererad karta.tif", "A 4473-2023")</f>
        <v/>
      </c>
      <c r="AA12">
        <f>HYPERLINK("https://klasma.github.io/Logging_0767/klagomål/A 4473-2023 FSC-klagomål.docx", "A 4473-2023")</f>
        <v/>
      </c>
      <c r="AB12">
        <f>HYPERLINK("https://klasma.github.io/Logging_0767/klagomålsmail/A 4473-2023 FSC-klagomål mail.docx", "A 4473-2023")</f>
        <v/>
      </c>
      <c r="AC12">
        <f>HYPERLINK("https://klasma.github.io/Logging_0767/tillsyn/A 4473-2023 tillsynsbegäran.docx", "A 4473-2023")</f>
        <v/>
      </c>
      <c r="AD12">
        <f>HYPERLINK("https://klasma.github.io/Logging_0767/tillsynsmail/A 4473-2023 tillsynsbegäran mail.docx", "A 4473-2023")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46249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46249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A 37243-2025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45876</v>
      </c>
      <c r="E15" s="1" t="n">
        <v>46249</v>
      </c>
      <c r="F15" t="inlineStr">
        <is>
          <t>KRONOBERGS LÄN</t>
        </is>
      </c>
      <c r="G15" t="inlineStr">
        <is>
          <t>MARKARYD</t>
        </is>
      </c>
      <c r="I15" t="n">
        <v>0.9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HYPERLINK("https://klasma.github.io/Logging_0767/artfynd/A 37243-2025 artfynd.xlsx", "A 37243-2025")</f>
        <v/>
      </c>
      <c r="X15">
        <f>HYPERLINK("https://klasma.github.io/Logging_0767/kartor/A 37243-2025 karta.png", "A 37243-2025")</f>
        <v/>
      </c>
      <c r="Y15">
        <f>HYPERLINK("https://klasma.github.io/Logging_0767/kartor_geotiff/A 37243-2025 georefererad karta.tif", "A 37243-2025")</f>
        <v/>
      </c>
      <c r="AA15">
        <f>HYPERLINK("https://klasma.github.io/Logging_0767/klagomål/A 37243-2025 FSC-klagomål.docx", "A 37243-2025")</f>
        <v/>
      </c>
      <c r="AB15">
        <f>HYPERLINK("https://klasma.github.io/Logging_0767/klagomålsmail/A 37243-2025 FSC-klagomål mail.docx", "A 37243-2025")</f>
        <v/>
      </c>
      <c r="AC15">
        <f>HYPERLINK("https://klasma.github.io/Logging_0767/tillsyn/A 37243-2025 tillsynsbegäran.docx", "A 37243-2025")</f>
        <v/>
      </c>
      <c r="AD15">
        <f>HYPERLINK("https://klasma.github.io/Logging_0767/tillsynsmail/A 37243-2025 tillsynsbegäran mail.docx", "A 37243-2025")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46249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46249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46249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46249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46249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46249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46249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46249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46249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46249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46249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46249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46249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46249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46249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46249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46249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46249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46249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46249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46249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46249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46249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46249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46249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46249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46249</v>
      </c>
      <c r="F42" t="inlineStr">
        <is>
          <t>KRONOBERGS LÄN</t>
        </is>
      </c>
      <c r="G42" t="inlineStr">
        <is>
          <t>MARKARYD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45160</v>
      </c>
      <c r="E43" s="1" t="n">
        <v>46249</v>
      </c>
      <c r="F43" t="inlineStr">
        <is>
          <t>KRONOBERGS LÄN</t>
        </is>
      </c>
      <c r="G43" t="inlineStr">
        <is>
          <t>MARKARYD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46249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46249</v>
      </c>
      <c r="F45" t="inlineStr">
        <is>
          <t>KRONOBERGS LÄN</t>
        </is>
      </c>
      <c r="G45" t="inlineStr">
        <is>
          <t>MARKARYD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46249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45681</v>
      </c>
      <c r="E47" s="1" t="n">
        <v>46249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46249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46249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46249</v>
      </c>
      <c r="F50" t="inlineStr">
        <is>
          <t>KRONOBERGS LÄN</t>
        </is>
      </c>
      <c r="G50" t="inlineStr">
        <is>
          <t>MARKARYD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12868-2022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44642</v>
      </c>
      <c r="E51" s="1" t="n">
        <v>46249</v>
      </c>
      <c r="F51" t="inlineStr">
        <is>
          <t>KRONOBERGS LÄN</t>
        </is>
      </c>
      <c r="G51" t="inlineStr">
        <is>
          <t>MARKARYD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45400</v>
      </c>
      <c r="E52" s="1" t="n">
        <v>46249</v>
      </c>
      <c r="F52" t="inlineStr">
        <is>
          <t>KRONOBERGS LÄN</t>
        </is>
      </c>
      <c r="G52" t="inlineStr">
        <is>
          <t>MARKARYD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44572</v>
      </c>
      <c r="E53" s="1" t="n">
        <v>46249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46249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46249</v>
      </c>
      <c r="F55" t="inlineStr">
        <is>
          <t>KRONOBERGS LÄN</t>
        </is>
      </c>
      <c r="G55" t="inlineStr">
        <is>
          <t>MARKARYD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44638</v>
      </c>
      <c r="E56" s="1" t="n">
        <v>46249</v>
      </c>
      <c r="F56" t="inlineStr">
        <is>
          <t>KRONOBERGS LÄN</t>
        </is>
      </c>
      <c r="G56" t="inlineStr">
        <is>
          <t>MARKARYD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45426</v>
      </c>
      <c r="E57" s="1" t="n">
        <v>46249</v>
      </c>
      <c r="F57" t="inlineStr">
        <is>
          <t>KRONOBERGS LÄN</t>
        </is>
      </c>
      <c r="G57" t="inlineStr">
        <is>
          <t>MARKARYD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46249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46249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46249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46249</v>
      </c>
      <c r="F61" t="inlineStr">
        <is>
          <t>KRONOBERGS LÄN</t>
        </is>
      </c>
      <c r="G61" t="inlineStr">
        <is>
          <t>MARKARYD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46249</v>
      </c>
      <c r="F62" t="inlineStr">
        <is>
          <t>KRONOBERGS LÄN</t>
        </is>
      </c>
      <c r="G62" t="inlineStr">
        <is>
          <t>MARKARYD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46249</v>
      </c>
      <c r="F63" t="inlineStr">
        <is>
          <t>KRONOBERGS LÄN</t>
        </is>
      </c>
      <c r="G63" t="inlineStr">
        <is>
          <t>MARKARYD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46249</v>
      </c>
      <c r="F64" t="inlineStr">
        <is>
          <t>KRONOBERGS LÄN</t>
        </is>
      </c>
      <c r="G64" t="inlineStr">
        <is>
          <t>MARKARYD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46249</v>
      </c>
      <c r="F65" t="inlineStr">
        <is>
          <t>KRONOBERGS LÄN</t>
        </is>
      </c>
      <c r="G65" t="inlineStr">
        <is>
          <t>MARKARYD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55107-2021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44474</v>
      </c>
      <c r="E66" s="1" t="n">
        <v>46249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46249</v>
      </c>
      <c r="F67" t="inlineStr">
        <is>
          <t>KRONOBERGS LÄN</t>
        </is>
      </c>
      <c r="G67" t="inlineStr">
        <is>
          <t>MARKARYD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46249</v>
      </c>
      <c r="F68" t="inlineStr">
        <is>
          <t>KRONOBERGS LÄN</t>
        </is>
      </c>
      <c r="G68" t="inlineStr">
        <is>
          <t>MARKARYD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46249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46249</v>
      </c>
      <c r="F70" t="inlineStr">
        <is>
          <t>KRONOBERGS LÄN</t>
        </is>
      </c>
      <c r="G70" t="inlineStr">
        <is>
          <t>MARKARYD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46249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46249</v>
      </c>
      <c r="F72" t="inlineStr">
        <is>
          <t>KRONOBERGS LÄN</t>
        </is>
      </c>
      <c r="G72" t="inlineStr">
        <is>
          <t>MARKARYD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20661-2022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46249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46249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46249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45296</v>
      </c>
      <c r="E76" s="1" t="n">
        <v>46249</v>
      </c>
      <c r="F76" t="inlineStr">
        <is>
          <t>KRONOBERGS LÄN</t>
        </is>
      </c>
      <c r="G76" t="inlineStr">
        <is>
          <t>MARKARYD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46249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45218</v>
      </c>
      <c r="E78" s="1" t="n">
        <v>46249</v>
      </c>
      <c r="F78" t="inlineStr">
        <is>
          <t>KRONOBERGS LÄN</t>
        </is>
      </c>
      <c r="G78" t="inlineStr">
        <is>
          <t>MARKARYD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45275</v>
      </c>
      <c r="E79" s="1" t="n">
        <v>46249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46249</v>
      </c>
      <c r="F80" t="inlineStr">
        <is>
          <t>KRONOBERGS LÄN</t>
        </is>
      </c>
      <c r="G80" t="inlineStr">
        <is>
          <t>MARKARYD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45275</v>
      </c>
      <c r="E81" s="1" t="n">
        <v>46249</v>
      </c>
      <c r="F81" t="inlineStr">
        <is>
          <t>KRONOBERGS LÄN</t>
        </is>
      </c>
      <c r="G81" t="inlineStr">
        <is>
          <t>MARKARYD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46249</v>
      </c>
      <c r="F82" t="inlineStr">
        <is>
          <t>KRONOBERGS LÄN</t>
        </is>
      </c>
      <c r="G82" t="inlineStr">
        <is>
          <t>MARKARYD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46249</v>
      </c>
      <c r="F83" t="inlineStr">
        <is>
          <t>KRONOBERGS LÄN</t>
        </is>
      </c>
      <c r="G83" t="inlineStr">
        <is>
          <t>MARKARYD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46249</v>
      </c>
      <c r="F84" t="inlineStr">
        <is>
          <t>KRONOBERGS LÄN</t>
        </is>
      </c>
      <c r="G84" t="inlineStr">
        <is>
          <t>MARKARYD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45054</v>
      </c>
      <c r="E85" s="1" t="n">
        <v>46249</v>
      </c>
      <c r="F85" t="inlineStr">
        <is>
          <t>KRONOBERGS LÄN</t>
        </is>
      </c>
      <c r="G85" t="inlineStr">
        <is>
          <t>MARKARYD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46249</v>
      </c>
      <c r="F86" t="inlineStr">
        <is>
          <t>KRONOBERGS LÄN</t>
        </is>
      </c>
      <c r="G86" t="inlineStr">
        <is>
          <t>MARKARYD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46249</v>
      </c>
      <c r="F87" t="inlineStr">
        <is>
          <t>KRONOBERGS LÄN</t>
        </is>
      </c>
      <c r="G87" t="inlineStr">
        <is>
          <t>MARKARYD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62030-2023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46249</v>
      </c>
      <c r="F88" t="inlineStr">
        <is>
          <t>KRONOBERGS LÄN</t>
        </is>
      </c>
      <c r="G88" t="inlineStr">
        <is>
          <t>MARKARYD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37818-2022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46249</v>
      </c>
      <c r="F89" t="inlineStr">
        <is>
          <t>KRONOBERGS LÄN</t>
        </is>
      </c>
      <c r="G89" t="inlineStr">
        <is>
          <t>MARKARYD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46249</v>
      </c>
      <c r="F90" t="inlineStr">
        <is>
          <t>KRONOBERGS LÄN</t>
        </is>
      </c>
      <c r="G90" t="inlineStr">
        <is>
          <t>MARKARYD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46249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44835</v>
      </c>
      <c r="E92" s="1" t="n">
        <v>46249</v>
      </c>
      <c r="F92" t="inlineStr">
        <is>
          <t>KRONOBERGS LÄN</t>
        </is>
      </c>
      <c r="G92" t="inlineStr">
        <is>
          <t>MARKARYD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46249</v>
      </c>
      <c r="F93" t="inlineStr">
        <is>
          <t>KRONOBERGS LÄN</t>
        </is>
      </c>
      <c r="G93" t="inlineStr">
        <is>
          <t>MARKARYD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46249</v>
      </c>
      <c r="F94" t="inlineStr">
        <is>
          <t>KRONOBERGS LÄN</t>
        </is>
      </c>
      <c r="G94" t="inlineStr">
        <is>
          <t>MARKARYD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46249</v>
      </c>
      <c r="F95" t="inlineStr">
        <is>
          <t>KRONOBERGS LÄN</t>
        </is>
      </c>
      <c r="G95" t="inlineStr">
        <is>
          <t>MARKARYD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46249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46249</v>
      </c>
      <c r="F97" t="inlineStr">
        <is>
          <t>KRONOBERGS LÄN</t>
        </is>
      </c>
      <c r="G97" t="inlineStr">
        <is>
          <t>MARKARYD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46249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46249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46249</v>
      </c>
      <c r="F100" t="inlineStr">
        <is>
          <t>KRONOBERGS LÄN</t>
        </is>
      </c>
      <c r="G100" t="inlineStr">
        <is>
          <t>MARKARYD</t>
        </is>
      </c>
      <c r="H100" t="inlineStr">
        <is>
          <t>Kyrkan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46249</v>
      </c>
      <c r="F101" t="inlineStr">
        <is>
          <t>KRONOBERGS LÄN</t>
        </is>
      </c>
      <c r="G101" t="inlineStr">
        <is>
          <t>MARKARYD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46249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46249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46085</v>
      </c>
      <c r="E104" s="1" t="n">
        <v>46249</v>
      </c>
      <c r="F104" t="inlineStr">
        <is>
          <t>KRONOBERGS LÄN</t>
        </is>
      </c>
      <c r="G104" t="inlineStr">
        <is>
          <t>MARKARYD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46085</v>
      </c>
      <c r="E105" s="1" t="n">
        <v>46249</v>
      </c>
      <c r="F105" t="inlineStr">
        <is>
          <t>KRONOBERGS LÄN</t>
        </is>
      </c>
      <c r="G105" t="inlineStr">
        <is>
          <t>MARKARYD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46249</v>
      </c>
      <c r="F106" t="inlineStr">
        <is>
          <t>KRONOBERGS LÄN</t>
        </is>
      </c>
      <c r="G106" t="inlineStr">
        <is>
          <t>MARKARYD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46249</v>
      </c>
      <c r="F107" t="inlineStr">
        <is>
          <t>KRONOBERGS LÄN</t>
        </is>
      </c>
      <c r="G107" t="inlineStr">
        <is>
          <t>MARKARYD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46249</v>
      </c>
      <c r="F108" t="inlineStr">
        <is>
          <t>KRONOBERGS LÄN</t>
        </is>
      </c>
      <c r="G108" t="inlineStr">
        <is>
          <t>MARKARYD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44498</v>
      </c>
      <c r="E109" s="1" t="n">
        <v>46249</v>
      </c>
      <c r="F109" t="inlineStr">
        <is>
          <t>KRONOBERGS LÄN</t>
        </is>
      </c>
      <c r="G109" t="inlineStr">
        <is>
          <t>MARKARYD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46249</v>
      </c>
      <c r="F110" t="inlineStr">
        <is>
          <t>KRONOBERGS LÄN</t>
        </is>
      </c>
      <c r="G110" t="inlineStr">
        <is>
          <t>MARKARYD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46249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46085</v>
      </c>
      <c r="E112" s="1" t="n">
        <v>46249</v>
      </c>
      <c r="F112" t="inlineStr">
        <is>
          <t>KRONOBERGS LÄN</t>
        </is>
      </c>
      <c r="G112" t="inlineStr">
        <is>
          <t>MARKARYD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46249</v>
      </c>
      <c r="F113" t="inlineStr">
        <is>
          <t>KRONOBERGS LÄN</t>
        </is>
      </c>
      <c r="G113" t="inlineStr">
        <is>
          <t>MARKARYD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46249</v>
      </c>
      <c r="F114" t="inlineStr">
        <is>
          <t>KRONOBERGS LÄN</t>
        </is>
      </c>
      <c r="G114" t="inlineStr">
        <is>
          <t>MARKARYD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46249</v>
      </c>
      <c r="F115" t="inlineStr">
        <is>
          <t>KRONOBERGS LÄN</t>
        </is>
      </c>
      <c r="G115" t="inlineStr">
        <is>
          <t>MARKARYD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46249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46249</v>
      </c>
      <c r="F117" t="inlineStr">
        <is>
          <t>KRONOBERGS LÄN</t>
        </is>
      </c>
      <c r="G117" t="inlineStr">
        <is>
          <t>MARKARYD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46249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46249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45556</v>
      </c>
      <c r="E120" s="1" t="n">
        <v>46249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46249</v>
      </c>
      <c r="F121" t="inlineStr">
        <is>
          <t>KRONOBERGS LÄN</t>
        </is>
      </c>
      <c r="G121" t="inlineStr">
        <is>
          <t>MARKARYD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46249</v>
      </c>
      <c r="F122" t="inlineStr">
        <is>
          <t>KRONOBERGS LÄN</t>
        </is>
      </c>
      <c r="G122" t="inlineStr">
        <is>
          <t>MARKARYD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46249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46249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46249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46249</v>
      </c>
      <c r="F126" t="inlineStr">
        <is>
          <t>KRONOBERGS LÄN</t>
        </is>
      </c>
      <c r="G126" t="inlineStr">
        <is>
          <t>MARKARYD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46249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46249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46249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46249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46249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45942</v>
      </c>
      <c r="E132" s="1" t="n">
        <v>46249</v>
      </c>
      <c r="F132" t="inlineStr">
        <is>
          <t>KRONOBERGS LÄN</t>
        </is>
      </c>
      <c r="G132" t="inlineStr">
        <is>
          <t>MARKARYD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46249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46249</v>
      </c>
      <c r="F134" t="inlineStr">
        <is>
          <t>KRONOBERGS LÄN</t>
        </is>
      </c>
      <c r="G134" t="inlineStr">
        <is>
          <t>MARKARYD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46249</v>
      </c>
      <c r="F135" t="inlineStr">
        <is>
          <t>KRONOBERGS LÄN</t>
        </is>
      </c>
      <c r="G135" t="inlineStr">
        <is>
          <t>MARKARYD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45195</v>
      </c>
      <c r="E136" s="1" t="n">
        <v>46249</v>
      </c>
      <c r="F136" t="inlineStr">
        <is>
          <t>KRONOBERGS LÄN</t>
        </is>
      </c>
      <c r="G136" t="inlineStr">
        <is>
          <t>MARKARYD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45127</v>
      </c>
      <c r="E137" s="1" t="n">
        <v>46249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44950</v>
      </c>
      <c r="E138" s="1" t="n">
        <v>46249</v>
      </c>
      <c r="F138" t="inlineStr">
        <is>
          <t>KRONOBERGS LÄN</t>
        </is>
      </c>
      <c r="G138" t="inlineStr">
        <is>
          <t>MARKARYD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45026</v>
      </c>
      <c r="E139" s="1" t="n">
        <v>46249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46249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46249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46249</v>
      </c>
      <c r="F142" t="inlineStr">
        <is>
          <t>KRONOBERGS LÄN</t>
        </is>
      </c>
      <c r="G142" t="inlineStr">
        <is>
          <t>MARKARYD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46249</v>
      </c>
      <c r="F143" t="inlineStr">
        <is>
          <t>KRONOBERGS LÄN</t>
        </is>
      </c>
      <c r="G143" t="inlineStr">
        <is>
          <t>MARKARYD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46249</v>
      </c>
      <c r="F144" t="inlineStr">
        <is>
          <t>KRONOBERGS LÄN</t>
        </is>
      </c>
      <c r="G144" t="inlineStr">
        <is>
          <t>MARKARYD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46249</v>
      </c>
      <c r="F145" t="inlineStr">
        <is>
          <t>KRONOBERGS LÄN</t>
        </is>
      </c>
      <c r="G145" t="inlineStr">
        <is>
          <t>MARKARYD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46249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46249</v>
      </c>
      <c r="F147" t="inlineStr">
        <is>
          <t>KRONOBERGS LÄN</t>
        </is>
      </c>
      <c r="G147" t="inlineStr">
        <is>
          <t>MARKARYD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46249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46249</v>
      </c>
      <c r="F149" t="inlineStr">
        <is>
          <t>KRONOBERGS LÄN</t>
        </is>
      </c>
      <c r="G149" t="inlineStr">
        <is>
          <t>MARKARYD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45628</v>
      </c>
      <c r="E150" s="1" t="n">
        <v>46249</v>
      </c>
      <c r="F150" t="inlineStr">
        <is>
          <t>KRONOBERGS LÄN</t>
        </is>
      </c>
      <c r="G150" t="inlineStr">
        <is>
          <t>MARKARYD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46249</v>
      </c>
      <c r="F151" t="inlineStr">
        <is>
          <t>KRONOBERGS LÄN</t>
        </is>
      </c>
      <c r="G151" t="inlineStr">
        <is>
          <t>MARKARYD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46249</v>
      </c>
      <c r="F152" t="inlineStr">
        <is>
          <t>KRONOBERGS LÄN</t>
        </is>
      </c>
      <c r="G152" t="inlineStr">
        <is>
          <t>MARKARYD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46249</v>
      </c>
      <c r="F153" t="inlineStr">
        <is>
          <t>KRONOBERGS LÄN</t>
        </is>
      </c>
      <c r="G153" t="inlineStr">
        <is>
          <t>MARKARYD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8494-2023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44977</v>
      </c>
      <c r="E154" s="1" t="n">
        <v>46249</v>
      </c>
      <c r="F154" t="inlineStr">
        <is>
          <t>KRONOBERGS LÄN</t>
        </is>
      </c>
      <c r="G154" t="inlineStr">
        <is>
          <t>MARKARYD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46249</v>
      </c>
      <c r="F155" t="inlineStr">
        <is>
          <t>KRONOBERGS LÄN</t>
        </is>
      </c>
      <c r="G155" t="inlineStr">
        <is>
          <t>MARKARYD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46249</v>
      </c>
      <c r="F156" t="inlineStr">
        <is>
          <t>KRONOBERGS LÄN</t>
        </is>
      </c>
      <c r="G156" t="inlineStr">
        <is>
          <t>MARKARYD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73861-2021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44553</v>
      </c>
      <c r="E157" s="1" t="n">
        <v>46249</v>
      </c>
      <c r="F157" t="inlineStr">
        <is>
          <t>KRONOBERGS LÄN</t>
        </is>
      </c>
      <c r="G157" t="inlineStr">
        <is>
          <t>MARKARYD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46249</v>
      </c>
      <c r="F158" t="inlineStr">
        <is>
          <t>KRONOBERGS LÄN</t>
        </is>
      </c>
      <c r="G158" t="inlineStr">
        <is>
          <t>MARKARYD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46249</v>
      </c>
      <c r="F159" t="inlineStr">
        <is>
          <t>KRONOBERGS LÄN</t>
        </is>
      </c>
      <c r="G159" t="inlineStr">
        <is>
          <t>MARKARYD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46249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46249</v>
      </c>
      <c r="F161" t="inlineStr">
        <is>
          <t>KRONOBERGS LÄN</t>
        </is>
      </c>
      <c r="G161" t="inlineStr">
        <is>
          <t>MARKARYD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46249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46249</v>
      </c>
      <c r="F163" t="inlineStr">
        <is>
          <t>KRONOBERGS LÄN</t>
        </is>
      </c>
      <c r="G163" t="inlineStr">
        <is>
          <t>MARKARYD</t>
        </is>
      </c>
      <c r="H163" t="inlineStr">
        <is>
          <t>Kommuner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46249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46249</v>
      </c>
      <c r="F165" t="inlineStr">
        <is>
          <t>KRONOBERGS LÄN</t>
        </is>
      </c>
      <c r="G165" t="inlineStr">
        <is>
          <t>MARKARYD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46249</v>
      </c>
      <c r="F166" t="inlineStr">
        <is>
          <t>KRONOBERGS LÄN</t>
        </is>
      </c>
      <c r="G166" t="inlineStr">
        <is>
          <t>MARKARYD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46249</v>
      </c>
      <c r="F167" t="inlineStr">
        <is>
          <t>KRONOBERGS LÄN</t>
        </is>
      </c>
      <c r="G167" t="inlineStr">
        <is>
          <t>MARKARYD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46249</v>
      </c>
      <c r="F168" t="inlineStr">
        <is>
          <t>KRONOBERGS LÄN</t>
        </is>
      </c>
      <c r="G168" t="inlineStr">
        <is>
          <t>MARKARYD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46249</v>
      </c>
      <c r="F169" t="inlineStr">
        <is>
          <t>KRONOBERGS LÄN</t>
        </is>
      </c>
      <c r="G169" t="inlineStr">
        <is>
          <t>MARKARYD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46249</v>
      </c>
      <c r="F170" t="inlineStr">
        <is>
          <t>KRONOBERGS LÄN</t>
        </is>
      </c>
      <c r="G170" t="inlineStr">
        <is>
          <t>MARKARYD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45282</v>
      </c>
      <c r="E171" s="1" t="n">
        <v>46249</v>
      </c>
      <c r="F171" t="inlineStr">
        <is>
          <t>KRONOBERGS LÄN</t>
        </is>
      </c>
      <c r="G171" t="inlineStr">
        <is>
          <t>MARKARYD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46249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46249</v>
      </c>
      <c r="F173" t="inlineStr">
        <is>
          <t>KRONOBERGS LÄN</t>
        </is>
      </c>
      <c r="G173" t="inlineStr">
        <is>
          <t>MARKARYD</t>
        </is>
      </c>
      <c r="I173" t="n">
        <v>13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46249</v>
      </c>
      <c r="F174" t="inlineStr">
        <is>
          <t>KRONOBERGS LÄN</t>
        </is>
      </c>
      <c r="G174" t="inlineStr">
        <is>
          <t>MARKARYD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46249</v>
      </c>
      <c r="F175" t="inlineStr">
        <is>
          <t>KRONOBERGS LÄN</t>
        </is>
      </c>
      <c r="G175" t="inlineStr">
        <is>
          <t>MARKARYD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46249</v>
      </c>
      <c r="F176" t="inlineStr">
        <is>
          <t>KRONOBERGS LÄN</t>
        </is>
      </c>
      <c r="G176" t="inlineStr">
        <is>
          <t>MARKARYD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46249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46249</v>
      </c>
      <c r="F178" t="inlineStr">
        <is>
          <t>KRONOBERGS LÄN</t>
        </is>
      </c>
      <c r="G178" t="inlineStr">
        <is>
          <t>MARKARYD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45080</v>
      </c>
      <c r="E179" s="1" t="n">
        <v>46249</v>
      </c>
      <c r="F179" t="inlineStr">
        <is>
          <t>KRONOBERGS LÄN</t>
        </is>
      </c>
      <c r="G179" t="inlineStr">
        <is>
          <t>MARKARYD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46249</v>
      </c>
      <c r="F180" t="inlineStr">
        <is>
          <t>KRONOBERGS LÄN</t>
        </is>
      </c>
      <c r="G180" t="inlineStr">
        <is>
          <t>MARKARYD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46249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46249</v>
      </c>
      <c r="F182" t="inlineStr">
        <is>
          <t>KRONOBERGS LÄN</t>
        </is>
      </c>
      <c r="G182" t="inlineStr">
        <is>
          <t>MARKARYD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46249</v>
      </c>
      <c r="F183" t="inlineStr">
        <is>
          <t>KRONOBERGS LÄN</t>
        </is>
      </c>
      <c r="G183" t="inlineStr">
        <is>
          <t>MARKARYD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46249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45462</v>
      </c>
      <c r="E185" s="1" t="n">
        <v>46249</v>
      </c>
      <c r="F185" t="inlineStr">
        <is>
          <t>KRONOBERGS LÄN</t>
        </is>
      </c>
      <c r="G185" t="inlineStr">
        <is>
          <t>MARKARYD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45473</v>
      </c>
      <c r="E186" s="1" t="n">
        <v>46249</v>
      </c>
      <c r="F186" t="inlineStr">
        <is>
          <t>KRONOBERGS LÄN</t>
        </is>
      </c>
      <c r="G186" t="inlineStr">
        <is>
          <t>MARKARYD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46249</v>
      </c>
      <c r="F187" t="inlineStr">
        <is>
          <t>KRONOBERGS LÄN</t>
        </is>
      </c>
      <c r="G187" t="inlineStr">
        <is>
          <t>MARKARYD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44887</v>
      </c>
      <c r="E188" s="1" t="n">
        <v>46249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46249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46249</v>
      </c>
      <c r="F190" t="inlineStr">
        <is>
          <t>KRONOBERGS LÄN</t>
        </is>
      </c>
      <c r="G190" t="inlineStr">
        <is>
          <t>MARKARYD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46249</v>
      </c>
      <c r="F191" t="inlineStr">
        <is>
          <t>KRONOBERGS LÄN</t>
        </is>
      </c>
      <c r="G191" t="inlineStr">
        <is>
          <t>MARKARYD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46249</v>
      </c>
      <c r="F192" t="inlineStr">
        <is>
          <t>KRONOBERGS LÄN</t>
        </is>
      </c>
      <c r="G192" t="inlineStr">
        <is>
          <t>MARKARYD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45678</v>
      </c>
      <c r="E193" s="1" t="n">
        <v>46249</v>
      </c>
      <c r="F193" t="inlineStr">
        <is>
          <t>KRONOBERGS LÄN</t>
        </is>
      </c>
      <c r="G193" t="inlineStr">
        <is>
          <t>MARKARYD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46249</v>
      </c>
      <c r="F194" t="inlineStr">
        <is>
          <t>KRONOBERGS LÄN</t>
        </is>
      </c>
      <c r="G194" t="inlineStr">
        <is>
          <t>MARKARYD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46249</v>
      </c>
      <c r="F195" t="inlineStr">
        <is>
          <t>KRONOBERGS LÄN</t>
        </is>
      </c>
      <c r="G195" t="inlineStr">
        <is>
          <t>MARKARYD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45663</v>
      </c>
      <c r="E196" s="1" t="n">
        <v>46249</v>
      </c>
      <c r="F196" t="inlineStr">
        <is>
          <t>KRONOBERGS LÄN</t>
        </is>
      </c>
      <c r="G196" t="inlineStr">
        <is>
          <t>MARKARYD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46249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46249</v>
      </c>
      <c r="F198" t="inlineStr">
        <is>
          <t>KRONOBERGS LÄN</t>
        </is>
      </c>
      <c r="G198" t="inlineStr">
        <is>
          <t>MARKARYD</t>
        </is>
      </c>
      <c r="H198" t="inlineStr">
        <is>
          <t>Kyrkan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44616</v>
      </c>
      <c r="E199" s="1" t="n">
        <v>46249</v>
      </c>
      <c r="F199" t="inlineStr">
        <is>
          <t>KRONOBERGS LÄN</t>
        </is>
      </c>
      <c r="G199" t="inlineStr">
        <is>
          <t>MARKARYD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44902</v>
      </c>
      <c r="E200" s="1" t="n">
        <v>46249</v>
      </c>
      <c r="F200" t="inlineStr">
        <is>
          <t>KRONOBERGS LÄN</t>
        </is>
      </c>
      <c r="G200" t="inlineStr">
        <is>
          <t>MARKARYD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46249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44760</v>
      </c>
      <c r="E202" s="1" t="n">
        <v>46249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46013</v>
      </c>
      <c r="E203" s="1" t="n">
        <v>46249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46249</v>
      </c>
      <c r="F204" t="inlineStr">
        <is>
          <t>KRONOBERGS LÄN</t>
        </is>
      </c>
      <c r="G204" t="inlineStr">
        <is>
          <t>MARKARYD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46249</v>
      </c>
      <c r="F205" t="inlineStr">
        <is>
          <t>KRONOBERGS LÄN</t>
        </is>
      </c>
      <c r="G205" t="inlineStr">
        <is>
          <t>MARKARYD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46249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46249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46249</v>
      </c>
      <c r="F208" t="inlineStr">
        <is>
          <t>KRONOBERGS LÄN</t>
        </is>
      </c>
      <c r="G208" t="inlineStr">
        <is>
          <t>MARKARYD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46249</v>
      </c>
      <c r="F209" t="inlineStr">
        <is>
          <t>KRONOBERGS LÄN</t>
        </is>
      </c>
      <c r="G209" t="inlineStr">
        <is>
          <t>MARKARYD</t>
        </is>
      </c>
      <c r="H209" t="inlineStr">
        <is>
          <t>Kommuner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46034</v>
      </c>
      <c r="E210" s="1" t="n">
        <v>46249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8501-2023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44977</v>
      </c>
      <c r="E211" s="1" t="n">
        <v>46249</v>
      </c>
      <c r="F211" t="inlineStr">
        <is>
          <t>KRONOBERGS LÄN</t>
        </is>
      </c>
      <c r="G211" t="inlineStr">
        <is>
          <t>MARKARYD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44700</v>
      </c>
      <c r="E212" s="1" t="n">
        <v>46249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45837</v>
      </c>
      <c r="E213" s="1" t="n">
        <v>46249</v>
      </c>
      <c r="F213" t="inlineStr">
        <is>
          <t>KRONOBERGS LÄN</t>
        </is>
      </c>
      <c r="G213" t="inlineStr">
        <is>
          <t>MARKARYD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46249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46249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46249</v>
      </c>
      <c r="F216" t="inlineStr">
        <is>
          <t>KRONOBERGS LÄN</t>
        </is>
      </c>
      <c r="G216" t="inlineStr">
        <is>
          <t>MARKARYD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46249</v>
      </c>
      <c r="F217" t="inlineStr">
        <is>
          <t>KRONOBERGS LÄN</t>
        </is>
      </c>
      <c r="G217" t="inlineStr">
        <is>
          <t>MARKARYD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46249</v>
      </c>
      <c r="F218" t="inlineStr">
        <is>
          <t>KRONOBERGS LÄN</t>
        </is>
      </c>
      <c r="G218" t="inlineStr">
        <is>
          <t>MARKARYD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46249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44928</v>
      </c>
      <c r="E220" s="1" t="n">
        <v>46249</v>
      </c>
      <c r="F220" t="inlineStr">
        <is>
          <t>KRONOBERGS LÄN</t>
        </is>
      </c>
      <c r="G220" t="inlineStr">
        <is>
          <t>MARKARYD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46249</v>
      </c>
      <c r="F221" t="inlineStr">
        <is>
          <t>KRONOBERGS LÄN</t>
        </is>
      </c>
      <c r="G221" t="inlineStr">
        <is>
          <t>MARKARYD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46249</v>
      </c>
      <c r="F222" t="inlineStr">
        <is>
          <t>KRONOBERGS LÄN</t>
        </is>
      </c>
      <c r="G222" t="inlineStr">
        <is>
          <t>MARKARYD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46249</v>
      </c>
      <c r="F223" t="inlineStr">
        <is>
          <t>KRONOBERGS LÄN</t>
        </is>
      </c>
      <c r="G223" t="inlineStr">
        <is>
          <t>MARKARYD</t>
        </is>
      </c>
      <c r="H223" t="inlineStr">
        <is>
          <t>Kyrkan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46249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45282</v>
      </c>
      <c r="E225" s="1" t="n">
        <v>46249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46249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46249</v>
      </c>
      <c r="F227" t="inlineStr">
        <is>
          <t>KRONOBERGS LÄN</t>
        </is>
      </c>
      <c r="G227" t="inlineStr">
        <is>
          <t>MARKARYD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46249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46249</v>
      </c>
      <c r="F229" t="inlineStr">
        <is>
          <t>KRONOBERGS LÄN</t>
        </is>
      </c>
      <c r="G229" t="inlineStr">
        <is>
          <t>MARKARYD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46249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46249</v>
      </c>
      <c r="F231" t="inlineStr">
        <is>
          <t>KRONOBERGS LÄN</t>
        </is>
      </c>
      <c r="G231" t="inlineStr">
        <is>
          <t>MARKARYD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46249</v>
      </c>
      <c r="F232" t="inlineStr">
        <is>
          <t>KRONOBERGS LÄN</t>
        </is>
      </c>
      <c r="G232" t="inlineStr">
        <is>
          <t>MARKARYD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46249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45666</v>
      </c>
      <c r="E234" s="1" t="n">
        <v>46249</v>
      </c>
      <c r="F234" t="inlineStr">
        <is>
          <t>KRONOBERGS LÄN</t>
        </is>
      </c>
      <c r="G234" t="inlineStr">
        <is>
          <t>MARKARYD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45547</v>
      </c>
      <c r="E235" s="1" t="n">
        <v>46249</v>
      </c>
      <c r="F235" t="inlineStr">
        <is>
          <t>KRONOBERGS LÄN</t>
        </is>
      </c>
      <c r="G235" t="inlineStr">
        <is>
          <t>MARKARYD</t>
        </is>
      </c>
      <c r="H235" t="inlineStr">
        <is>
          <t>Kyrkan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46249</v>
      </c>
      <c r="F236" t="inlineStr">
        <is>
          <t>KRONOBERGS LÄN</t>
        </is>
      </c>
      <c r="G236" t="inlineStr">
        <is>
          <t>MARKARYD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46249</v>
      </c>
      <c r="F237" t="inlineStr">
        <is>
          <t>KRONOBERGS LÄN</t>
        </is>
      </c>
      <c r="G237" t="inlineStr">
        <is>
          <t>MARKARYD</t>
        </is>
      </c>
      <c r="H237" t="inlineStr">
        <is>
          <t>Övriga Aktiebolag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11781-2023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44994</v>
      </c>
      <c r="E238" s="1" t="n">
        <v>46249</v>
      </c>
      <c r="F238" t="inlineStr">
        <is>
          <t>KRONOBERGS LÄN</t>
        </is>
      </c>
      <c r="G238" t="inlineStr">
        <is>
          <t>MARKARYD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46249</v>
      </c>
      <c r="F239" t="inlineStr">
        <is>
          <t>KRONOBERGS LÄN</t>
        </is>
      </c>
      <c r="G239" t="inlineStr">
        <is>
          <t>MARKARYD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46249</v>
      </c>
      <c r="F240" t="inlineStr">
        <is>
          <t>KRONOBERGS LÄN</t>
        </is>
      </c>
      <c r="G240" t="inlineStr">
        <is>
          <t>MARKARYD</t>
        </is>
      </c>
      <c r="I240" t="n">
        <v>16.3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45564</v>
      </c>
      <c r="E241" s="1" t="n">
        <v>46249</v>
      </c>
      <c r="F241" t="inlineStr">
        <is>
          <t>KRONOBERGS LÄN</t>
        </is>
      </c>
      <c r="G241" t="inlineStr">
        <is>
          <t>MARKARYD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46249</v>
      </c>
      <c r="F242" t="inlineStr">
        <is>
          <t>KRONOBERGS LÄN</t>
        </is>
      </c>
      <c r="G242" t="inlineStr">
        <is>
          <t>MARKARYD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46249</v>
      </c>
      <c r="F243" t="inlineStr">
        <is>
          <t>KRONOBERGS LÄN</t>
        </is>
      </c>
      <c r="G243" t="inlineStr">
        <is>
          <t>MARKARYD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46249</v>
      </c>
      <c r="F244" t="inlineStr">
        <is>
          <t>KRONOBERGS LÄN</t>
        </is>
      </c>
      <c r="G244" t="inlineStr">
        <is>
          <t>MARKARYD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45386-2022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44844</v>
      </c>
      <c r="E245" s="1" t="n">
        <v>46249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46249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46249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46249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46249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46249</v>
      </c>
      <c r="F250" t="inlineStr">
        <is>
          <t>KRONOBERGS LÄN</t>
        </is>
      </c>
      <c r="G250" t="inlineStr">
        <is>
          <t>MARKARYD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46249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46249</v>
      </c>
      <c r="F252" t="inlineStr">
        <is>
          <t>KRONOBERGS LÄN</t>
        </is>
      </c>
      <c r="G252" t="inlineStr">
        <is>
          <t>MARKARYD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46249</v>
      </c>
      <c r="F253" t="inlineStr">
        <is>
          <t>KRONOBERGS LÄN</t>
        </is>
      </c>
      <c r="G253" t="inlineStr">
        <is>
          <t>MARKARYD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44461</v>
      </c>
      <c r="E254" s="1" t="n">
        <v>46249</v>
      </c>
      <c r="F254" t="inlineStr">
        <is>
          <t>KRONOBERGS LÄN</t>
        </is>
      </c>
      <c r="G254" t="inlineStr">
        <is>
          <t>MARKARYD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58686-2022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44902</v>
      </c>
      <c r="E255" s="1" t="n">
        <v>46249</v>
      </c>
      <c r="F255" t="inlineStr">
        <is>
          <t>KRONOBERGS LÄN</t>
        </is>
      </c>
      <c r="G255" t="inlineStr">
        <is>
          <t>MARKARYD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46249</v>
      </c>
      <c r="F256" t="inlineStr">
        <is>
          <t>KRONOBERGS LÄN</t>
        </is>
      </c>
      <c r="G256" t="inlineStr">
        <is>
          <t>MARKARYD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46249</v>
      </c>
      <c r="F257" t="inlineStr">
        <is>
          <t>KRONOBERGS LÄN</t>
        </is>
      </c>
      <c r="G257" t="inlineStr">
        <is>
          <t>MARKARYD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44467</v>
      </c>
      <c r="E258" s="1" t="n">
        <v>46249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46249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46249</v>
      </c>
      <c r="F260" t="inlineStr">
        <is>
          <t>KRONOBERGS LÄN</t>
        </is>
      </c>
      <c r="G260" t="inlineStr">
        <is>
          <t>MARKARYD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46249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46249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46249</v>
      </c>
      <c r="F263" t="inlineStr">
        <is>
          <t>KRONOBERGS LÄN</t>
        </is>
      </c>
      <c r="G263" t="inlineStr">
        <is>
          <t>MARKARYD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45344</v>
      </c>
      <c r="E264" s="1" t="n">
        <v>46249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46249</v>
      </c>
      <c r="F265" t="inlineStr">
        <is>
          <t>KRONOBERGS LÄN</t>
        </is>
      </c>
      <c r="G265" t="inlineStr">
        <is>
          <t>MARKARYD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46249</v>
      </c>
      <c r="F266" t="inlineStr">
        <is>
          <t>KRONOBERGS LÄN</t>
        </is>
      </c>
      <c r="G266" t="inlineStr">
        <is>
          <t>MARKARYD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46249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46249</v>
      </c>
      <c r="F268" t="inlineStr">
        <is>
          <t>KRONOBERGS LÄN</t>
        </is>
      </c>
      <c r="G268" t="inlineStr">
        <is>
          <t>MARKARYD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46249</v>
      </c>
      <c r="F269" t="inlineStr">
        <is>
          <t>KRONOBERGS LÄN</t>
        </is>
      </c>
      <c r="G269" t="inlineStr">
        <is>
          <t>MARKARYD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46249</v>
      </c>
      <c r="F270" t="inlineStr">
        <is>
          <t>KRONOBERGS LÄN</t>
        </is>
      </c>
      <c r="G270" t="inlineStr">
        <is>
          <t>MARKARYD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64511-2023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46249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46249</v>
      </c>
      <c r="F272" t="inlineStr">
        <is>
          <t>KRONOBERGS LÄN</t>
        </is>
      </c>
      <c r="G272" t="inlineStr">
        <is>
          <t>MARKARYD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46249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46249</v>
      </c>
      <c r="F274" t="inlineStr">
        <is>
          <t>KRONOBERGS LÄN</t>
        </is>
      </c>
      <c r="G274" t="inlineStr">
        <is>
          <t>MARKARYD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46249</v>
      </c>
      <c r="F275" t="inlineStr">
        <is>
          <t>KRONOBERGS LÄN</t>
        </is>
      </c>
      <c r="G275" t="inlineStr">
        <is>
          <t>MARKARYD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45407</v>
      </c>
      <c r="E276" s="1" t="n">
        <v>46249</v>
      </c>
      <c r="F276" t="inlineStr">
        <is>
          <t>KRONOBERGS LÄN</t>
        </is>
      </c>
      <c r="G276" t="inlineStr">
        <is>
          <t>MARKARYD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46249</v>
      </c>
      <c r="F277" t="inlineStr">
        <is>
          <t>KRONOBERGS LÄN</t>
        </is>
      </c>
      <c r="G277" t="inlineStr">
        <is>
          <t>MARKARYD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46249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46249</v>
      </c>
      <c r="F279" t="inlineStr">
        <is>
          <t>KRONOBERGS LÄN</t>
        </is>
      </c>
      <c r="G279" t="inlineStr">
        <is>
          <t>MARKARYD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46249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46249</v>
      </c>
      <c r="F281" t="inlineStr">
        <is>
          <t>KRONOBERGS LÄN</t>
        </is>
      </c>
      <c r="G281" t="inlineStr">
        <is>
          <t>MARKARYD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50734-2021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44460</v>
      </c>
      <c r="E282" s="1" t="n">
        <v>46249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45329</v>
      </c>
      <c r="E283" s="1" t="n">
        <v>46249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46249</v>
      </c>
      <c r="F284" t="inlineStr">
        <is>
          <t>KRONOBERGS LÄN</t>
        </is>
      </c>
      <c r="G284" t="inlineStr">
        <is>
          <t>MARKARYD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46249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44999</v>
      </c>
      <c r="E286" s="1" t="n">
        <v>46249</v>
      </c>
      <c r="F286" t="inlineStr">
        <is>
          <t>KRONOBERGS LÄN</t>
        </is>
      </c>
      <c r="G286" t="inlineStr">
        <is>
          <t>MARKARYD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46249</v>
      </c>
      <c r="F287" t="inlineStr">
        <is>
          <t>KRONOBERGS LÄN</t>
        </is>
      </c>
      <c r="G287" t="inlineStr">
        <is>
          <t>MARKARYD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45837</v>
      </c>
      <c r="E288" s="1" t="n">
        <v>46249</v>
      </c>
      <c r="F288" t="inlineStr">
        <is>
          <t>KRONOBERGS LÄN</t>
        </is>
      </c>
      <c r="G288" t="inlineStr">
        <is>
          <t>MARKARYD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46249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51905-2024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45607</v>
      </c>
      <c r="E290" s="1" t="n">
        <v>46249</v>
      </c>
      <c r="F290" t="inlineStr">
        <is>
          <t>KRONOBERGS LÄN</t>
        </is>
      </c>
      <c r="G290" t="inlineStr">
        <is>
          <t>MARKARYD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46249</v>
      </c>
      <c r="F291" t="inlineStr">
        <is>
          <t>KRONOBERGS LÄN</t>
        </is>
      </c>
      <c r="G291" t="inlineStr">
        <is>
          <t>MARKARYD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46249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46249</v>
      </c>
      <c r="F293" t="inlineStr">
        <is>
          <t>KRONOBERGS LÄN</t>
        </is>
      </c>
      <c r="G293" t="inlineStr">
        <is>
          <t>MARKARYD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45783</v>
      </c>
      <c r="E294" s="1" t="n">
        <v>46249</v>
      </c>
      <c r="F294" t="inlineStr">
        <is>
          <t>KRONOBERGS LÄN</t>
        </is>
      </c>
      <c r="G294" t="inlineStr">
        <is>
          <t>MARKARYD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45609</v>
      </c>
      <c r="E295" s="1" t="n">
        <v>46249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46249</v>
      </c>
      <c r="F296" t="inlineStr">
        <is>
          <t>KRONOBERGS LÄN</t>
        </is>
      </c>
      <c r="G296" t="inlineStr">
        <is>
          <t>MARKARYD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46249</v>
      </c>
      <c r="F297" t="inlineStr">
        <is>
          <t>KRONOBERGS LÄN</t>
        </is>
      </c>
      <c r="G297" t="inlineStr">
        <is>
          <t>MARKARYD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46249</v>
      </c>
      <c r="F298" t="inlineStr">
        <is>
          <t>KRONOBERGS LÄN</t>
        </is>
      </c>
      <c r="G298" t="inlineStr">
        <is>
          <t>MARKARYD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46249</v>
      </c>
      <c r="F299" t="inlineStr">
        <is>
          <t>KRONOBERGS LÄN</t>
        </is>
      </c>
      <c r="G299" t="inlineStr">
        <is>
          <t>MARKARYD</t>
        </is>
      </c>
      <c r="H299" t="inlineStr">
        <is>
          <t>Övriga Aktiebolag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45637</v>
      </c>
      <c r="E300" s="1" t="n">
        <v>46249</v>
      </c>
      <c r="F300" t="inlineStr">
        <is>
          <t>KRONOBERGS LÄN</t>
        </is>
      </c>
      <c r="G300" t="inlineStr">
        <is>
          <t>MARKARYD</t>
        </is>
      </c>
      <c r="H300" t="inlineStr">
        <is>
          <t>Övriga Aktiebolag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46249</v>
      </c>
      <c r="F301" t="inlineStr">
        <is>
          <t>KRONOBERGS LÄN</t>
        </is>
      </c>
      <c r="G301" t="inlineStr">
        <is>
          <t>MARKARYD</t>
        </is>
      </c>
      <c r="H301" t="inlineStr">
        <is>
          <t>Sveaskog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46249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45444</v>
      </c>
      <c r="E303" s="1" t="n">
        <v>46249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46249</v>
      </c>
      <c r="F304" t="inlineStr">
        <is>
          <t>KRONOBERGS LÄN</t>
        </is>
      </c>
      <c r="G304" t="inlineStr">
        <is>
          <t>MARKARYD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46249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46249</v>
      </c>
      <c r="F306" t="inlineStr">
        <is>
          <t>KRONOBERGS LÄN</t>
        </is>
      </c>
      <c r="G306" t="inlineStr">
        <is>
          <t>MARKARYD</t>
        </is>
      </c>
      <c r="H306" t="inlineStr">
        <is>
          <t>Kommuner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46249</v>
      </c>
      <c r="F307" t="inlineStr">
        <is>
          <t>KRONOBERGS LÄN</t>
        </is>
      </c>
      <c r="G307" t="inlineStr">
        <is>
          <t>MARKARYD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44636</v>
      </c>
      <c r="E308" s="1" t="n">
        <v>46249</v>
      </c>
      <c r="F308" t="inlineStr">
        <is>
          <t>KRONOBERGS LÄN</t>
        </is>
      </c>
      <c r="G308" t="inlineStr">
        <is>
          <t>MARKARYD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46249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46249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46249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46249</v>
      </c>
      <c r="F312" t="inlineStr">
        <is>
          <t>KRONOBERGS LÄN</t>
        </is>
      </c>
      <c r="G312" t="inlineStr">
        <is>
          <t>MARKARYD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46213</v>
      </c>
      <c r="E313" s="1" t="n">
        <v>46249</v>
      </c>
      <c r="F313" t="inlineStr">
        <is>
          <t>KRONOBERGS LÄN</t>
        </is>
      </c>
      <c r="G313" t="inlineStr">
        <is>
          <t>MARKARYD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46249</v>
      </c>
      <c r="F314" t="inlineStr">
        <is>
          <t>KRONOBERGS LÄN</t>
        </is>
      </c>
      <c r="G314" t="inlineStr">
        <is>
          <t>MARKARYD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65581-2021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44516</v>
      </c>
      <c r="E315" s="1" t="n">
        <v>46249</v>
      </c>
      <c r="F315" t="inlineStr">
        <is>
          <t>KRONOBERGS LÄN</t>
        </is>
      </c>
      <c r="G315" t="inlineStr">
        <is>
          <t>MARKARYD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45547</v>
      </c>
      <c r="E316" s="1" t="n">
        <v>46249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46249</v>
      </c>
      <c r="F317" t="inlineStr">
        <is>
          <t>KRONOBERGS LÄN</t>
        </is>
      </c>
      <c r="G317" t="inlineStr">
        <is>
          <t>MARKARYD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46249</v>
      </c>
      <c r="F318" t="inlineStr">
        <is>
          <t>KRONOBERGS LÄN</t>
        </is>
      </c>
      <c r="G318" t="inlineStr">
        <is>
          <t>MARKARYD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25160-2026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46175</v>
      </c>
      <c r="E319" s="1" t="n">
        <v>46249</v>
      </c>
      <c r="F319" t="inlineStr">
        <is>
          <t>KRONOBERGS LÄN</t>
        </is>
      </c>
      <c r="G319" t="inlineStr">
        <is>
          <t>MARKARYD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45797</v>
      </c>
      <c r="E320" s="1" t="n">
        <v>46249</v>
      </c>
      <c r="F320" t="inlineStr">
        <is>
          <t>KRONOBERGS LÄN</t>
        </is>
      </c>
      <c r="G320" t="inlineStr">
        <is>
          <t>MARKARYD</t>
        </is>
      </c>
      <c r="H320" t="inlineStr">
        <is>
          <t>Kyrkan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46249</v>
      </c>
      <c r="F321" t="inlineStr">
        <is>
          <t>KRONOBERGS LÄN</t>
        </is>
      </c>
      <c r="G321" t="inlineStr">
        <is>
          <t>MARKARYD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45800</v>
      </c>
      <c r="E322" s="1" t="n">
        <v>46249</v>
      </c>
      <c r="F322" t="inlineStr">
        <is>
          <t>KRONOBERGS LÄN</t>
        </is>
      </c>
      <c r="G322" t="inlineStr">
        <is>
          <t>MARKARYD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46249</v>
      </c>
      <c r="F323" t="inlineStr">
        <is>
          <t>KRONOBERGS LÄN</t>
        </is>
      </c>
      <c r="G323" t="inlineStr">
        <is>
          <t>MARKARYD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70327-2021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46249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44581</v>
      </c>
      <c r="E325" s="1" t="n">
        <v>46249</v>
      </c>
      <c r="F325" t="inlineStr">
        <is>
          <t>KRONOBERGS LÄN</t>
        </is>
      </c>
      <c r="G325" t="inlineStr">
        <is>
          <t>MARKARYD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45230</v>
      </c>
      <c r="E326" s="1" t="n">
        <v>46249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46249</v>
      </c>
      <c r="F327" t="inlineStr">
        <is>
          <t>KRONOBERGS LÄN</t>
        </is>
      </c>
      <c r="G327" t="inlineStr">
        <is>
          <t>MARKARYD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25957-2023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45090</v>
      </c>
      <c r="E328" s="1" t="n">
        <v>46249</v>
      </c>
      <c r="F328" t="inlineStr">
        <is>
          <t>KRONOBERGS LÄN</t>
        </is>
      </c>
      <c r="G328" t="inlineStr">
        <is>
          <t>MARKARYD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46249</v>
      </c>
      <c r="F329" t="inlineStr">
        <is>
          <t>KRONOBERGS LÄN</t>
        </is>
      </c>
      <c r="G329" t="inlineStr">
        <is>
          <t>MARKARYD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46249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46249</v>
      </c>
      <c r="F331" t="inlineStr">
        <is>
          <t>KRONOBERGS LÄN</t>
        </is>
      </c>
      <c r="G331" t="inlineStr">
        <is>
          <t>MARKARYD</t>
        </is>
      </c>
      <c r="H331" t="inlineStr">
        <is>
          <t>Naturvårdsverket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45434</v>
      </c>
      <c r="E332" s="1" t="n">
        <v>46249</v>
      </c>
      <c r="F332" t="inlineStr">
        <is>
          <t>KRONOBERGS LÄN</t>
        </is>
      </c>
      <c r="G332" t="inlineStr">
        <is>
          <t>MARKARYD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45418</v>
      </c>
      <c r="E333" s="1" t="n">
        <v>46249</v>
      </c>
      <c r="F333" t="inlineStr">
        <is>
          <t>KRONOBERGS LÄN</t>
        </is>
      </c>
      <c r="G333" t="inlineStr">
        <is>
          <t>MARKARYD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45625</v>
      </c>
      <c r="E334" s="1" t="n">
        <v>46249</v>
      </c>
      <c r="F334" t="inlineStr">
        <is>
          <t>KRONOBERGS LÄN</t>
        </is>
      </c>
      <c r="G334" t="inlineStr">
        <is>
          <t>MARKARYD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45141</v>
      </c>
      <c r="E335" s="1" t="n">
        <v>46249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44677</v>
      </c>
      <c r="E336" s="1" t="n">
        <v>46249</v>
      </c>
      <c r="F336" t="inlineStr">
        <is>
          <t>KRONOBERGS LÄN</t>
        </is>
      </c>
      <c r="G336" t="inlineStr">
        <is>
          <t>MARKARYD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45080</v>
      </c>
      <c r="E337" s="1" t="n">
        <v>46249</v>
      </c>
      <c r="F337" t="inlineStr">
        <is>
          <t>KRONOBERGS LÄN</t>
        </is>
      </c>
      <c r="G337" t="inlineStr">
        <is>
          <t>MARKARYD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46249</v>
      </c>
      <c r="F338" t="inlineStr">
        <is>
          <t>KRONOBERGS LÄN</t>
        </is>
      </c>
      <c r="G338" t="inlineStr">
        <is>
          <t>MARKARYD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39483-2022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44818</v>
      </c>
      <c r="E339" s="1" t="n">
        <v>46249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46249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46249</v>
      </c>
      <c r="F341" t="inlineStr">
        <is>
          <t>KRONOBERGS LÄN</t>
        </is>
      </c>
      <c r="G341" t="inlineStr">
        <is>
          <t>MARKARYD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46249</v>
      </c>
      <c r="F342" t="inlineStr">
        <is>
          <t>KRONOBERGS LÄN</t>
        </is>
      </c>
      <c r="G342" t="inlineStr">
        <is>
          <t>MARKARYD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46249</v>
      </c>
      <c r="F343" t="inlineStr">
        <is>
          <t>KRONOBERGS LÄN</t>
        </is>
      </c>
      <c r="G343" t="inlineStr">
        <is>
          <t>MARKARYD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45719</v>
      </c>
      <c r="E344" s="1" t="n">
        <v>46249</v>
      </c>
      <c r="F344" t="inlineStr">
        <is>
          <t>KRONOBERGS LÄN</t>
        </is>
      </c>
      <c r="G344" t="inlineStr">
        <is>
          <t>MARKARYD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46249</v>
      </c>
      <c r="F345" t="inlineStr">
        <is>
          <t>KRONOBERGS LÄN</t>
        </is>
      </c>
      <c r="G345" t="inlineStr">
        <is>
          <t>MARKARYD</t>
        </is>
      </c>
      <c r="H345" t="inlineStr">
        <is>
          <t>Kyrkan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45181</v>
      </c>
      <c r="E346" s="1" t="n">
        <v>46249</v>
      </c>
      <c r="F346" t="inlineStr">
        <is>
          <t>KRONOBERGS LÄN</t>
        </is>
      </c>
      <c r="G346" t="inlineStr">
        <is>
          <t>MARKARYD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46240</v>
      </c>
      <c r="E347" s="1" t="n">
        <v>46249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46240</v>
      </c>
      <c r="E348" s="1" t="n">
        <v>46249</v>
      </c>
      <c r="F348" t="inlineStr">
        <is>
          <t>KRONOBERGS LÄN</t>
        </is>
      </c>
      <c r="G348" t="inlineStr">
        <is>
          <t>MARKARYD</t>
        </is>
      </c>
      <c r="H348" t="inlineStr">
        <is>
          <t>Kyrkan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38005-2025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45882</v>
      </c>
      <c r="E349" s="1" t="n">
        <v>46249</v>
      </c>
      <c r="F349" t="inlineStr">
        <is>
          <t>KRONOBERGS LÄN</t>
        </is>
      </c>
      <c r="G349" t="inlineStr">
        <is>
          <t>MARKARYD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19233-2025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45769</v>
      </c>
      <c r="E350" s="1" t="n">
        <v>46249</v>
      </c>
      <c r="F350" t="inlineStr">
        <is>
          <t>KRONOBERGS LÄN</t>
        </is>
      </c>
      <c r="G350" t="inlineStr">
        <is>
          <t>MARKARYD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46249</v>
      </c>
      <c r="F351" t="inlineStr">
        <is>
          <t>KRONOBERGS LÄN</t>
        </is>
      </c>
      <c r="G351" t="inlineStr">
        <is>
          <t>MARKARYD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46249</v>
      </c>
      <c r="F352" t="inlineStr">
        <is>
          <t>KRONOBERGS LÄN</t>
        </is>
      </c>
      <c r="G352" t="inlineStr">
        <is>
          <t>MARKARYD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44673</v>
      </c>
      <c r="E353" s="1" t="n">
        <v>46249</v>
      </c>
      <c r="F353" t="inlineStr">
        <is>
          <t>KRONOBERGS LÄN</t>
        </is>
      </c>
      <c r="G353" t="inlineStr">
        <is>
          <t>MARKARYD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44673</v>
      </c>
      <c r="E354" s="1" t="n">
        <v>46249</v>
      </c>
      <c r="F354" t="inlineStr">
        <is>
          <t>KRONOBERGS LÄN</t>
        </is>
      </c>
      <c r="G354" t="inlineStr">
        <is>
          <t>MARKARYD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45874</v>
      </c>
      <c r="E355" s="1" t="n">
        <v>46249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46249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46249</v>
      </c>
      <c r="F357" t="inlineStr">
        <is>
          <t>KRONOBERGS LÄN</t>
        </is>
      </c>
      <c r="G357" t="inlineStr">
        <is>
          <t>MARKARYD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46249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46249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46249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46249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46249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46249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46249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46249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46249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46249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46249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46249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2026-08-15T08:31:51Z</dcterms:created>
  <dcterms:modified xmlns:dcterms="http://purl.org/dc/terms/" xmlns:xsi="http://www.w3.org/2001/XMLSchema-instance" xsi:type="dcterms:W3CDTF">2026-08-15T08:31:52Z</dcterms:modified>
</cp:coreProperties>
</file>